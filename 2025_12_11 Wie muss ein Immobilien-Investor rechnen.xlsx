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showInkAnnotation="0"/>
  <xr:revisionPtr revIDLastSave="0" documentId="8_{A84C62B7-81CC-4E55-BAE4-72217759E535}" xr6:coauthVersionLast="47" xr6:coauthVersionMax="47" xr10:uidLastSave="{00000000-0000-0000-0000-000000000000}"/>
  <bookViews>
    <workbookView xWindow="22932" yWindow="-108" windowWidth="38616" windowHeight="21096" tabRatio="720" xr2:uid="{00000000-000D-0000-FFFF-FFFF00000000}"/>
  </bookViews>
  <sheets>
    <sheet name="Hinweise" sheetId="1" r:id="rId1"/>
    <sheet name="Parameter" sheetId="2" r:id="rId2"/>
    <sheet name="AfA" sheetId="14" r:id="rId3"/>
    <sheet name="Cash &amp; Assets" sheetId="3" r:id="rId4"/>
    <sheet name="Kennzahlen" sheetId="11" r:id="rId5"/>
    <sheet name="Graphiken" sheetId="12" r:id="rId6"/>
    <sheet name="ChangeLog" sheetId="13" r:id="rId7"/>
  </sheets>
  <definedNames>
    <definedName name="AfA_Art">Parameter!$B$19</definedName>
    <definedName name="AfA_Tabelle">AfA!$A$16:$F$46</definedName>
    <definedName name="AFABasis">Parameter!$B$20</definedName>
    <definedName name="Annuität_Förderkredit">Parameter!$I$66</definedName>
    <definedName name="Annuität_Kredit_1_p.a.">Parameter!$B$66</definedName>
    <definedName name="Annuität_Kredit_2_p.a.">Parameter!$B$75</definedName>
    <definedName name="Anschlusskredit">Parameter!$B$70</definedName>
    <definedName name="Anzahl_Tilgungszuschüsse">Parameter!$I$62</definedName>
    <definedName name="AuszahungKredit1">Parameter!$B$63</definedName>
    <definedName name="Baukostensteigerung_p.a">Parameter!$B$25</definedName>
    <definedName name="BeginnFolgeKredit">Parameter!$D$69</definedName>
    <definedName name="Deg5Lin2">AfA!$C$15</definedName>
    <definedName name="Deg5Lin3">AfA!$B$15</definedName>
    <definedName name="Disagio">Parameter!$B$62</definedName>
    <definedName name="Disagio_in_Prozent">Parameter!$B$61</definedName>
    <definedName name="Eigenkapital">Parameter!$B$51</definedName>
    <definedName name="Finanzbedarf">Parameter!$B$53</definedName>
    <definedName name="FinZeitraum">Parameter!$B$54</definedName>
    <definedName name="FittingUp">Parameter!$B$14</definedName>
    <definedName name="Förderkredit">Parameter!$I$59</definedName>
    <definedName name="Förderzeit">Parameter!$I$57</definedName>
    <definedName name="Förderzins">Parameter!$I$64</definedName>
    <definedName name="Gebäude">Parameter!$B$6</definedName>
    <definedName name="Grenzsteuersatz">Parameter!$B$47</definedName>
    <definedName name="Grundbuchamt">Parameter!$B$10</definedName>
    <definedName name="Grunderwerbsteuer">Parameter!$B$8</definedName>
    <definedName name="Grundstück">Parameter!$B$5</definedName>
    <definedName name="Instanhaltungskosten_am_Anfang">Parameter!$B$15</definedName>
    <definedName name="Investment">Parameter!$B$52</definedName>
    <definedName name="Kreditbedarf">Parameter!$B$59</definedName>
    <definedName name="Kreditzins1">Parameter!$B$64</definedName>
    <definedName name="Kreditzins2">Parameter!$B$71</definedName>
    <definedName name="LaufzeitKredit1">Parameter!$B$57</definedName>
    <definedName name="LaufzeitKredit2">Parameter!$D$69</definedName>
    <definedName name="Lebensdauer">Parameter!$B$18</definedName>
    <definedName name="Linear2">AfA!$E$15</definedName>
    <definedName name="Linear3">AfA!$D$15</definedName>
    <definedName name="LinearX">AfA!$F$15</definedName>
    <definedName name="Maklergebühren">Parameter!$B$9</definedName>
    <definedName name="Mietpreissteigerung_p.a.">Parameter!$B$44</definedName>
    <definedName name="Notargebühren">Parameter!$B$11</definedName>
    <definedName name="RBWnach6Jahren">'Cash &amp; Assets'!$AD$13</definedName>
    <definedName name="Restlaufzeit">Parameter!$B$73</definedName>
    <definedName name="Start">Parameter!$E$3</definedName>
    <definedName name="Startjahr">Parameter!$B$3</definedName>
    <definedName name="Tilgungszuschuss">Parameter!$I$61</definedName>
    <definedName name="Unterhaltskosten_p.a.">Parameter!$B$33</definedName>
    <definedName name="Unterhaltskostensteigerung">Parameter!$B$34</definedName>
    <definedName name="Verkaufsjahr">Parameter!#REF!</definedName>
    <definedName name="Wertverlust_des_Gebäudes_p.a.">Parameter!$B$23</definedName>
    <definedName name="Wertzuwachst_des_Grundstücks_p.a.">Parameter!$B$24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3" l="1"/>
  <c r="M12" i="3"/>
  <c r="M11" i="3"/>
  <c r="M10" i="3"/>
  <c r="M9" i="3"/>
  <c r="B4" i="2"/>
  <c r="B8" i="3"/>
  <c r="C3" i="11" s="1"/>
  <c r="B43" i="2"/>
  <c r="C2" i="2" l="1"/>
  <c r="F38" i="3"/>
  <c r="E38" i="3"/>
  <c r="F37" i="3"/>
  <c r="E37" i="3"/>
  <c r="F36" i="3"/>
  <c r="E36" i="3"/>
  <c r="F35" i="3"/>
  <c r="E35" i="3"/>
  <c r="F34" i="3"/>
  <c r="E34" i="3"/>
  <c r="F33" i="3"/>
  <c r="E33" i="3"/>
  <c r="E32" i="3"/>
  <c r="E31" i="3"/>
  <c r="E30" i="3"/>
  <c r="E29" i="3"/>
  <c r="E28" i="3"/>
  <c r="E27" i="3"/>
  <c r="E26" i="3"/>
  <c r="E25" i="3"/>
  <c r="E24" i="3"/>
  <c r="E23" i="3"/>
  <c r="E22" i="3"/>
  <c r="E21" i="3"/>
  <c r="E20" i="3"/>
  <c r="E19" i="3"/>
  <c r="E18" i="3"/>
  <c r="E17" i="3"/>
  <c r="E16" i="3"/>
  <c r="E15" i="3"/>
  <c r="E14" i="3"/>
  <c r="E13" i="3"/>
  <c r="E12" i="3"/>
  <c r="E11" i="3"/>
  <c r="E10" i="3"/>
  <c r="E9" i="3"/>
  <c r="E8" i="3"/>
  <c r="E7" i="3"/>
  <c r="I65" i="2" l="1"/>
  <c r="X9" i="3"/>
  <c r="X8" i="3" l="1"/>
  <c r="L8" i="3" l="1"/>
  <c r="O8" i="3" s="1"/>
  <c r="L7" i="3"/>
  <c r="M16" i="3"/>
  <c r="M36" i="3"/>
  <c r="M17" i="3"/>
  <c r="M37" i="3"/>
  <c r="M18" i="3"/>
  <c r="M38" i="3"/>
  <c r="M19" i="3"/>
  <c r="M23" i="3"/>
  <c r="M24" i="3"/>
  <c r="M31" i="3"/>
  <c r="M15" i="3"/>
  <c r="M20" i="3"/>
  <c r="M21" i="3"/>
  <c r="M22" i="3"/>
  <c r="M25" i="3"/>
  <c r="M26" i="3"/>
  <c r="M27" i="3"/>
  <c r="M29" i="3"/>
  <c r="M30" i="3"/>
  <c r="M32" i="3"/>
  <c r="M13" i="3"/>
  <c r="M14" i="3"/>
  <c r="M35" i="3"/>
  <c r="M28" i="3"/>
  <c r="M33" i="3"/>
  <c r="M34" i="3"/>
  <c r="I63" i="2"/>
  <c r="B80" i="2"/>
  <c r="B81" i="2" s="1"/>
  <c r="AM6" i="3" s="1"/>
  <c r="D54" i="2"/>
  <c r="Z3" i="3"/>
  <c r="F17" i="14"/>
  <c r="Z9" i="3" s="1"/>
  <c r="F18" i="14"/>
  <c r="Z10" i="3" s="1"/>
  <c r="F19" i="14"/>
  <c r="Z11" i="3" s="1"/>
  <c r="F20" i="14"/>
  <c r="Z12" i="3" s="1"/>
  <c r="F21" i="14"/>
  <c r="Z13" i="3" s="1"/>
  <c r="F22" i="14"/>
  <c r="Z14" i="3" s="1"/>
  <c r="F23" i="14"/>
  <c r="Z15" i="3" s="1"/>
  <c r="F24" i="14"/>
  <c r="Z16" i="3" s="1"/>
  <c r="F25" i="14"/>
  <c r="Z17" i="3" s="1"/>
  <c r="F26" i="14"/>
  <c r="Z18" i="3" s="1"/>
  <c r="F27" i="14"/>
  <c r="Z19" i="3" s="1"/>
  <c r="F28" i="14"/>
  <c r="Z20" i="3" s="1"/>
  <c r="F29" i="14"/>
  <c r="Z21" i="3" s="1"/>
  <c r="F30" i="14"/>
  <c r="Z22" i="3" s="1"/>
  <c r="F31" i="14"/>
  <c r="Z23" i="3" s="1"/>
  <c r="F32" i="14"/>
  <c r="Z24" i="3" s="1"/>
  <c r="F33" i="14"/>
  <c r="Z25" i="3" s="1"/>
  <c r="F34" i="14"/>
  <c r="Z26" i="3" s="1"/>
  <c r="F35" i="14"/>
  <c r="Z27" i="3" s="1"/>
  <c r="F36" i="14"/>
  <c r="Z28" i="3" s="1"/>
  <c r="F37" i="14"/>
  <c r="Z29" i="3" s="1"/>
  <c r="F38" i="14"/>
  <c r="Z30" i="3" s="1"/>
  <c r="F39" i="14"/>
  <c r="Z31" i="3" s="1"/>
  <c r="F40" i="14"/>
  <c r="Z32" i="3" s="1"/>
  <c r="F41" i="14"/>
  <c r="Z33" i="3" s="1"/>
  <c r="F42" i="14"/>
  <c r="Z34" i="3" s="1"/>
  <c r="F43" i="14"/>
  <c r="Z35" i="3" s="1"/>
  <c r="F44" i="14"/>
  <c r="Z36" i="3" s="1"/>
  <c r="F45" i="14"/>
  <c r="Z37" i="3" s="1"/>
  <c r="F46" i="14"/>
  <c r="Z38" i="3" s="1"/>
  <c r="F16" i="14"/>
  <c r="Z8" i="3" s="1"/>
  <c r="I58" i="2" l="1"/>
  <c r="I66" i="2"/>
  <c r="P25" i="3"/>
  <c r="P26" i="3"/>
  <c r="P29" i="3"/>
  <c r="P10" i="3"/>
  <c r="P31" i="3"/>
  <c r="P32" i="3"/>
  <c r="P35" i="3"/>
  <c r="P17" i="3"/>
  <c r="P8" i="3"/>
  <c r="P24" i="3"/>
  <c r="P27" i="3"/>
  <c r="P9" i="3"/>
  <c r="P30" i="3"/>
  <c r="P12" i="3"/>
  <c r="P15" i="3"/>
  <c r="P18" i="3"/>
  <c r="P22" i="3"/>
  <c r="P28" i="3"/>
  <c r="P11" i="3"/>
  <c r="P34" i="3"/>
  <c r="P36" i="3"/>
  <c r="P38" i="3"/>
  <c r="P20" i="3"/>
  <c r="P13" i="3"/>
  <c r="P33" i="3"/>
  <c r="P14" i="3"/>
  <c r="P16" i="3"/>
  <c r="P37" i="3"/>
  <c r="P19" i="3"/>
  <c r="P21" i="3"/>
  <c r="P23" i="3"/>
  <c r="C9" i="11"/>
  <c r="B58" i="2"/>
  <c r="AO6" i="3"/>
  <c r="N25" i="3" l="1"/>
  <c r="N38" i="3"/>
  <c r="N28" i="3"/>
  <c r="N29" i="3"/>
  <c r="N30" i="3"/>
  <c r="N11" i="3"/>
  <c r="N15" i="3"/>
  <c r="N26" i="3"/>
  <c r="N10" i="3"/>
  <c r="N32" i="3"/>
  <c r="N14" i="3"/>
  <c r="N27" i="3"/>
  <c r="N9" i="3"/>
  <c r="N12" i="3"/>
  <c r="N33" i="3"/>
  <c r="N16" i="3"/>
  <c r="N36" i="3"/>
  <c r="N8" i="3"/>
  <c r="N19" i="3"/>
  <c r="N21" i="3"/>
  <c r="N24" i="3"/>
  <c r="N31" i="3"/>
  <c r="N13" i="3"/>
  <c r="N17" i="3"/>
  <c r="N37" i="3"/>
  <c r="N18" i="3"/>
  <c r="N20" i="3"/>
  <c r="N22" i="3"/>
  <c r="N23" i="3"/>
  <c r="N34" i="3"/>
  <c r="N35" i="3"/>
  <c r="AM54" i="3"/>
  <c r="AO54" i="3" s="1"/>
  <c r="Q8" i="3" l="1"/>
  <c r="AF24" i="11"/>
  <c r="L9" i="3" l="1"/>
  <c r="O9" i="3" s="1"/>
  <c r="C7" i="3"/>
  <c r="AR7" i="3"/>
  <c r="AR8" i="3" s="1"/>
  <c r="AR9" i="3" s="1"/>
  <c r="AR10" i="3" s="1"/>
  <c r="AR11" i="3" s="1"/>
  <c r="AR12" i="3" s="1"/>
  <c r="AR13" i="3" s="1"/>
  <c r="AR14" i="3" s="1"/>
  <c r="AR15" i="3" s="1"/>
  <c r="AR16" i="3" s="1"/>
  <c r="AR17" i="3" s="1"/>
  <c r="AR18" i="3" s="1"/>
  <c r="AR19" i="3" s="1"/>
  <c r="AR20" i="3" s="1"/>
  <c r="AR21" i="3" s="1"/>
  <c r="AR22" i="3" s="1"/>
  <c r="AR23" i="3" s="1"/>
  <c r="AR24" i="3" s="1"/>
  <c r="AR25" i="3" s="1"/>
  <c r="AR26" i="3" s="1"/>
  <c r="AR27" i="3" s="1"/>
  <c r="AR28" i="3" s="1"/>
  <c r="AR29" i="3" s="1"/>
  <c r="AR30" i="3" s="1"/>
  <c r="AR31" i="3" s="1"/>
  <c r="AR32" i="3" s="1"/>
  <c r="AR33" i="3" s="1"/>
  <c r="AR34" i="3" s="1"/>
  <c r="AR35" i="3" s="1"/>
  <c r="AR36" i="3" s="1"/>
  <c r="AR37" i="3" s="1"/>
  <c r="AR38" i="3" s="1"/>
  <c r="AQ7" i="3"/>
  <c r="AQ8" i="3" s="1"/>
  <c r="AQ9" i="3" s="1"/>
  <c r="AQ10" i="3" s="1"/>
  <c r="AQ11" i="3" s="1"/>
  <c r="AQ12" i="3" s="1"/>
  <c r="AQ13" i="3" s="1"/>
  <c r="AQ14" i="3" s="1"/>
  <c r="AQ15" i="3" s="1"/>
  <c r="AQ16" i="3" s="1"/>
  <c r="AQ17" i="3" s="1"/>
  <c r="AQ18" i="3" s="1"/>
  <c r="AQ19" i="3" s="1"/>
  <c r="AQ20" i="3" s="1"/>
  <c r="AQ21" i="3" s="1"/>
  <c r="AQ22" i="3" s="1"/>
  <c r="AQ23" i="3" s="1"/>
  <c r="AQ24" i="3" s="1"/>
  <c r="AQ25" i="3" s="1"/>
  <c r="AQ26" i="3" s="1"/>
  <c r="AQ27" i="3" s="1"/>
  <c r="AQ28" i="3" s="1"/>
  <c r="AQ29" i="3" s="1"/>
  <c r="AQ30" i="3" s="1"/>
  <c r="AQ31" i="3" s="1"/>
  <c r="AQ32" i="3" s="1"/>
  <c r="AQ33" i="3" s="1"/>
  <c r="AQ34" i="3" s="1"/>
  <c r="AQ35" i="3" s="1"/>
  <c r="AQ36" i="3" s="1"/>
  <c r="AQ37" i="3" s="1"/>
  <c r="AQ38" i="3" s="1"/>
  <c r="AS8" i="3" l="1"/>
  <c r="C7" i="11" s="1"/>
  <c r="AS7" i="3"/>
  <c r="AS9" i="3" l="1"/>
  <c r="B72" i="2"/>
  <c r="AS10" i="3" l="1"/>
  <c r="M30" i="11"/>
  <c r="AS11" i="3" l="1"/>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8" i="3"/>
  <c r="AS12" i="3" l="1"/>
  <c r="AS13" i="3" l="1"/>
  <c r="AS14" i="3" l="1"/>
  <c r="G3" i="2"/>
  <c r="AS15" i="3" l="1"/>
  <c r="B31" i="2"/>
  <c r="B32" i="2"/>
  <c r="AS16" i="3" l="1"/>
  <c r="B33" i="2"/>
  <c r="E4" i="12"/>
  <c r="C2" i="12"/>
  <c r="X10" i="3" l="1"/>
  <c r="X11" i="3" s="1"/>
  <c r="X12" i="3" s="1"/>
  <c r="X13" i="3" s="1"/>
  <c r="X14" i="3" s="1"/>
  <c r="X15" i="3" s="1"/>
  <c r="X16" i="3" s="1"/>
  <c r="X17" i="3" s="1"/>
  <c r="X18" i="3" s="1"/>
  <c r="X19" i="3" s="1"/>
  <c r="X20" i="3" s="1"/>
  <c r="X21" i="3" s="1"/>
  <c r="X22" i="3" s="1"/>
  <c r="X23" i="3" s="1"/>
  <c r="X24" i="3" s="1"/>
  <c r="X25" i="3" s="1"/>
  <c r="X26" i="3" s="1"/>
  <c r="X27" i="3" s="1"/>
  <c r="X28" i="3" s="1"/>
  <c r="X29" i="3" s="1"/>
  <c r="X30" i="3" s="1"/>
  <c r="X31" i="3" s="1"/>
  <c r="X32" i="3" s="1"/>
  <c r="X33" i="3" s="1"/>
  <c r="X34" i="3" s="1"/>
  <c r="X35" i="3" s="1"/>
  <c r="X36" i="3" s="1"/>
  <c r="X37" i="3" s="1"/>
  <c r="X38" i="3" s="1"/>
  <c r="AS17" i="3"/>
  <c r="H5" i="2"/>
  <c r="O32" i="11"/>
  <c r="M32" i="11"/>
  <c r="D1" i="11"/>
  <c r="E1" i="11" s="1"/>
  <c r="F1" i="11" s="1"/>
  <c r="G1" i="11" s="1"/>
  <c r="H1" i="11" s="1"/>
  <c r="I1" i="11" s="1"/>
  <c r="J1" i="11" s="1"/>
  <c r="K1" i="11" s="1"/>
  <c r="L1" i="11" s="1"/>
  <c r="M1" i="11" s="1"/>
  <c r="N1" i="11" s="1"/>
  <c r="AS18" i="3" l="1"/>
  <c r="M7" i="11" s="1"/>
  <c r="C4" i="12"/>
  <c r="C37" i="2"/>
  <c r="B38" i="2"/>
  <c r="B10" i="2"/>
  <c r="B40" i="2" l="1"/>
  <c r="C38" i="2"/>
  <c r="AS19" i="3"/>
  <c r="B8" i="2"/>
  <c r="C9" i="2"/>
  <c r="B11" i="2"/>
  <c r="B60" i="2"/>
  <c r="B73" i="2"/>
  <c r="D69" i="2"/>
  <c r="B65" i="2"/>
  <c r="A7" i="3"/>
  <c r="B9" i="2" l="1"/>
  <c r="B13" i="2" s="1"/>
  <c r="B16" i="2" s="1"/>
  <c r="C13" i="2"/>
  <c r="C5" i="2"/>
  <c r="C6" i="2"/>
  <c r="BA7" i="3"/>
  <c r="AS20" i="3"/>
  <c r="B74" i="2"/>
  <c r="C7" i="2"/>
  <c r="C4" i="2" l="1"/>
  <c r="B52" i="2"/>
  <c r="B20" i="2"/>
  <c r="AS21" i="3"/>
  <c r="B9" i="3"/>
  <c r="BA8" i="3"/>
  <c r="AD7" i="3" l="1"/>
  <c r="AA8" i="3"/>
  <c r="O31" i="11"/>
  <c r="E3" i="12"/>
  <c r="AS22" i="3"/>
  <c r="AW5" i="3"/>
  <c r="AW51" i="3"/>
  <c r="B10" i="3"/>
  <c r="BA9" i="3"/>
  <c r="B53" i="2"/>
  <c r="B59" i="2" s="1"/>
  <c r="AI7" i="3" s="1"/>
  <c r="C6" i="11"/>
  <c r="C15" i="11"/>
  <c r="D15" i="11" s="1"/>
  <c r="E15" i="11" s="1"/>
  <c r="F15" i="11" s="1"/>
  <c r="G15" i="11" s="1"/>
  <c r="H15" i="11" s="1"/>
  <c r="I15" i="11" s="1"/>
  <c r="J15" i="11" s="1"/>
  <c r="K15" i="11" s="1"/>
  <c r="L15" i="11" s="1"/>
  <c r="M15" i="11" s="1"/>
  <c r="N15" i="11" s="1"/>
  <c r="D3" i="11"/>
  <c r="E3" i="11" s="1"/>
  <c r="F3" i="11" s="1"/>
  <c r="G3" i="11" s="1"/>
  <c r="H3" i="11" s="1"/>
  <c r="I3" i="11" s="1"/>
  <c r="J3" i="11" s="1"/>
  <c r="K3" i="11" s="1"/>
  <c r="L3" i="11" s="1"/>
  <c r="M3" i="11" s="1"/>
  <c r="N3" i="11" s="1"/>
  <c r="AS23" i="3" l="1"/>
  <c r="B11" i="3"/>
  <c r="BA10" i="3"/>
  <c r="C20" i="11"/>
  <c r="D6" i="11"/>
  <c r="B63" i="2" l="1"/>
  <c r="D7" i="3" s="1"/>
  <c r="AS24" i="3"/>
  <c r="D7" i="11"/>
  <c r="B12" i="3"/>
  <c r="BA11" i="3"/>
  <c r="D20" i="11"/>
  <c r="E6" i="11"/>
  <c r="B66" i="2" l="1"/>
  <c r="F17" i="3" s="1"/>
  <c r="B62" i="2"/>
  <c r="D8" i="3"/>
  <c r="V8" i="3" s="1"/>
  <c r="AT8" i="3" s="1"/>
  <c r="I67" i="2"/>
  <c r="AS25" i="3"/>
  <c r="F7" i="11"/>
  <c r="E7" i="11"/>
  <c r="B13" i="3"/>
  <c r="BA12" i="3"/>
  <c r="F6" i="11"/>
  <c r="E20" i="11"/>
  <c r="B67" i="2" l="1"/>
  <c r="F9" i="3"/>
  <c r="AI9" i="3" s="1"/>
  <c r="F8" i="3"/>
  <c r="C26" i="11" s="1"/>
  <c r="F12" i="3"/>
  <c r="F13" i="3"/>
  <c r="F14" i="3"/>
  <c r="F10" i="3"/>
  <c r="F11" i="3"/>
  <c r="F15" i="3"/>
  <c r="F16" i="3"/>
  <c r="C8" i="11"/>
  <c r="C10" i="11" s="1"/>
  <c r="C21" i="11" s="1"/>
  <c r="G8" i="3"/>
  <c r="AS26" i="3"/>
  <c r="B14" i="3"/>
  <c r="BA13" i="3"/>
  <c r="F20" i="11"/>
  <c r="G6" i="11"/>
  <c r="I8" i="3" l="1"/>
  <c r="C25" i="11"/>
  <c r="D26" i="11"/>
  <c r="D9" i="11"/>
  <c r="AS27" i="3"/>
  <c r="G7" i="11"/>
  <c r="B15" i="3"/>
  <c r="BA14" i="3"/>
  <c r="AS53" i="3"/>
  <c r="T119" i="12" s="1"/>
  <c r="G20" i="11"/>
  <c r="H6" i="11"/>
  <c r="S8" i="3" l="1"/>
  <c r="T8" i="3" s="1"/>
  <c r="J8" i="3"/>
  <c r="D9" i="3"/>
  <c r="V9" i="3" s="1"/>
  <c r="AT9" i="3" s="1"/>
  <c r="K8" i="3"/>
  <c r="Q9" i="3"/>
  <c r="AS28" i="3"/>
  <c r="H7" i="11"/>
  <c r="B16" i="3"/>
  <c r="BA15" i="3"/>
  <c r="H20" i="11"/>
  <c r="I6" i="11"/>
  <c r="U8" i="3" l="1"/>
  <c r="L10" i="3"/>
  <c r="O10" i="3"/>
  <c r="E9" i="11"/>
  <c r="D8" i="11"/>
  <c r="D10" i="11" s="1"/>
  <c r="D21" i="11" s="1"/>
  <c r="G9" i="3"/>
  <c r="AS29" i="3"/>
  <c r="I7" i="11"/>
  <c r="B17" i="3"/>
  <c r="BA16" i="3"/>
  <c r="I20" i="11"/>
  <c r="J6" i="11"/>
  <c r="D25" i="11" l="1"/>
  <c r="I9" i="3"/>
  <c r="S9" i="3" s="1"/>
  <c r="AS30" i="3"/>
  <c r="J7" i="11"/>
  <c r="B18" i="3"/>
  <c r="BA17" i="3"/>
  <c r="J20" i="11"/>
  <c r="K6" i="11"/>
  <c r="U9" i="3" l="1"/>
  <c r="T9" i="3"/>
  <c r="K9" i="3"/>
  <c r="D10" i="3"/>
  <c r="V10" i="3" s="1"/>
  <c r="AT10" i="3" s="1"/>
  <c r="J9" i="3"/>
  <c r="AS31" i="3"/>
  <c r="K7" i="11"/>
  <c r="B19" i="3"/>
  <c r="BA18" i="3"/>
  <c r="K20" i="11"/>
  <c r="L6" i="11"/>
  <c r="E8" i="11" l="1"/>
  <c r="E10" i="11" s="1"/>
  <c r="E21" i="11" s="1"/>
  <c r="G10" i="3"/>
  <c r="AS32" i="3"/>
  <c r="L7" i="11"/>
  <c r="B20" i="3"/>
  <c r="BA19" i="3"/>
  <c r="AS54" i="3"/>
  <c r="T120" i="12" s="1"/>
  <c r="L20" i="11"/>
  <c r="M6" i="11"/>
  <c r="I10" i="3" l="1"/>
  <c r="AS33" i="3"/>
  <c r="B21" i="3"/>
  <c r="BA20" i="3"/>
  <c r="N6" i="11"/>
  <c r="M20" i="11"/>
  <c r="J10" i="3" l="1"/>
  <c r="K10" i="3"/>
  <c r="D11" i="3"/>
  <c r="AS34" i="3"/>
  <c r="N7" i="11"/>
  <c r="B22" i="3"/>
  <c r="BA21" i="3"/>
  <c r="F8" i="11" l="1"/>
  <c r="G11" i="3"/>
  <c r="AS35" i="3"/>
  <c r="O7" i="11"/>
  <c r="B23" i="3"/>
  <c r="BA22" i="3"/>
  <c r="I11" i="3" l="1"/>
  <c r="AS36" i="3"/>
  <c r="P7" i="11"/>
  <c r="B24" i="3"/>
  <c r="BA23" i="3"/>
  <c r="D12" i="3" l="1"/>
  <c r="J11" i="3"/>
  <c r="K11" i="3"/>
  <c r="AS38" i="3"/>
  <c r="AS37" i="3"/>
  <c r="Q7" i="11"/>
  <c r="B25" i="3"/>
  <c r="BA24" i="3"/>
  <c r="AS55" i="3"/>
  <c r="T121" i="12" s="1"/>
  <c r="G8" i="11" l="1"/>
  <c r="R7" i="11"/>
  <c r="B26" i="3"/>
  <c r="BA25" i="3"/>
  <c r="S7" i="11" l="1"/>
  <c r="B27" i="3"/>
  <c r="BA26" i="3"/>
  <c r="T7" i="11" l="1"/>
  <c r="B28" i="3"/>
  <c r="BA27" i="3"/>
  <c r="U7" i="11" l="1"/>
  <c r="B29" i="3"/>
  <c r="BA28" i="3"/>
  <c r="V7" i="11" l="1"/>
  <c r="B30" i="3"/>
  <c r="BA29" i="3"/>
  <c r="AS56" i="3"/>
  <c r="T122" i="12" s="1"/>
  <c r="W7" i="11" l="1"/>
  <c r="B31" i="3"/>
  <c r="BA30" i="3"/>
  <c r="X7" i="11" l="1"/>
  <c r="B32" i="3"/>
  <c r="BA31" i="3"/>
  <c r="Y7" i="11" l="1"/>
  <c r="B33" i="3"/>
  <c r="BA32" i="3"/>
  <c r="Z7" i="11" l="1"/>
  <c r="B34" i="3"/>
  <c r="BA33" i="3"/>
  <c r="AA7" i="11" l="1"/>
  <c r="B35" i="3"/>
  <c r="BA34" i="3"/>
  <c r="AS57" i="3"/>
  <c r="T123" i="12" s="1"/>
  <c r="AB7" i="11" l="1"/>
  <c r="B36" i="3"/>
  <c r="BA35" i="3"/>
  <c r="AC7" i="11" l="1"/>
  <c r="B37" i="3"/>
  <c r="BA36" i="3"/>
  <c r="AD7" i="11" l="1"/>
  <c r="B38" i="3"/>
  <c r="BA38" i="3" s="1"/>
  <c r="BA37" i="3"/>
  <c r="AE7" i="11" l="1"/>
  <c r="AF7" i="11" l="1"/>
  <c r="AS58" i="3"/>
  <c r="T124" i="12" s="1"/>
  <c r="C33" i="2" l="1"/>
  <c r="B41" i="2"/>
  <c r="Y8" i="3" l="1"/>
  <c r="B42" i="2"/>
  <c r="C42" i="2" s="1"/>
  <c r="AI8" i="3" l="1"/>
  <c r="Y9" i="3"/>
  <c r="C4" i="11"/>
  <c r="Y10" i="3" l="1"/>
  <c r="D4" i="11"/>
  <c r="AI10" i="3" l="1"/>
  <c r="Y11" i="3"/>
  <c r="E4" i="11"/>
  <c r="AI11" i="3" l="1"/>
  <c r="Y12" i="3"/>
  <c r="F4" i="11"/>
  <c r="AI12" i="3" l="1"/>
  <c r="G4" i="11"/>
  <c r="Y13" i="3"/>
  <c r="AI13" i="3" l="1"/>
  <c r="Y14" i="3"/>
  <c r="H4" i="11"/>
  <c r="AI14" i="3" l="1"/>
  <c r="I4" i="11"/>
  <c r="Y15" i="3"/>
  <c r="AI15" i="3" l="1"/>
  <c r="Y16" i="3"/>
  <c r="J4" i="11"/>
  <c r="AI16" i="3" l="1"/>
  <c r="K4" i="11"/>
  <c r="Y17" i="3"/>
  <c r="AI17" i="3" l="1"/>
  <c r="Y18" i="3"/>
  <c r="L4" i="11"/>
  <c r="Y19" i="3" l="1"/>
  <c r="Y20" i="3" s="1"/>
  <c r="M4" i="11"/>
  <c r="O4" i="11" l="1"/>
  <c r="N4" i="11"/>
  <c r="Y21" i="3"/>
  <c r="Y22" i="3" l="1"/>
  <c r="P4" i="11"/>
  <c r="Y23" i="3"/>
  <c r="Q4" i="11"/>
  <c r="R4" i="11" l="1"/>
  <c r="Y24" i="3"/>
  <c r="Y25" i="3" l="1"/>
  <c r="S4" i="11"/>
  <c r="T4" i="11" l="1"/>
  <c r="Y26" i="3"/>
  <c r="U4" i="11" l="1"/>
  <c r="Y27" i="3"/>
  <c r="V4" i="11" l="1"/>
  <c r="Y28" i="3"/>
  <c r="W4" i="11" l="1"/>
  <c r="Y29" i="3"/>
  <c r="Y30" i="3" l="1"/>
  <c r="X4" i="11"/>
  <c r="Y31" i="3" l="1"/>
  <c r="Y4" i="11"/>
  <c r="Z4" i="11" l="1"/>
  <c r="Y32" i="3"/>
  <c r="AA4" i="11" l="1"/>
  <c r="Y33" i="3"/>
  <c r="AI33" i="3" l="1"/>
  <c r="Y34" i="3"/>
  <c r="AB4" i="11"/>
  <c r="AI34" i="3" l="1"/>
  <c r="AC4" i="11"/>
  <c r="Y35" i="3"/>
  <c r="AI35" i="3" l="1"/>
  <c r="Y36" i="3"/>
  <c r="AD4" i="11"/>
  <c r="AI36" i="3" l="1"/>
  <c r="AE4" i="11"/>
  <c r="Y37" i="3"/>
  <c r="AI37" i="3" s="1"/>
  <c r="AF4" i="11" l="1"/>
  <c r="Y38" i="3"/>
  <c r="AI38" i="3" l="1"/>
  <c r="N20" i="11"/>
  <c r="O6" i="11"/>
  <c r="O20" i="11" s="1"/>
  <c r="O15" i="11"/>
  <c r="P15" i="11" s="1"/>
  <c r="Q15" i="11" s="1"/>
  <c r="R15" i="11" s="1"/>
  <c r="S15" i="11" s="1"/>
  <c r="T15" i="11" s="1"/>
  <c r="U15" i="11" s="1"/>
  <c r="V15" i="11" s="1"/>
  <c r="W15" i="11" s="1"/>
  <c r="X15" i="11" s="1"/>
  <c r="Y15" i="11" s="1"/>
  <c r="Z15" i="11" s="1"/>
  <c r="AA15" i="11" s="1"/>
  <c r="AB15" i="11" s="1"/>
  <c r="AC15" i="11" s="1"/>
  <c r="AD15" i="11" s="1"/>
  <c r="AE15" i="11" s="1"/>
  <c r="AF15" i="11" s="1"/>
  <c r="O1" i="11"/>
  <c r="P1" i="11" s="1"/>
  <c r="Q1" i="11" s="1"/>
  <c r="R1" i="11" s="1"/>
  <c r="S1" i="11" s="1"/>
  <c r="T1" i="11" s="1"/>
  <c r="U1" i="11" s="1"/>
  <c r="V1" i="11" s="1"/>
  <c r="W1" i="11" s="1"/>
  <c r="X1" i="11" s="1"/>
  <c r="Y1" i="11" s="1"/>
  <c r="Z1" i="11" s="1"/>
  <c r="AA1" i="11" s="1"/>
  <c r="AB1" i="11" s="1"/>
  <c r="AC1" i="11" s="1"/>
  <c r="AD1" i="11" s="1"/>
  <c r="AE1" i="11" s="1"/>
  <c r="AF1" i="11" s="1"/>
  <c r="O3" i="11"/>
  <c r="P3" i="11" s="1"/>
  <c r="Q3" i="11" s="1"/>
  <c r="R3" i="11" s="1"/>
  <c r="S3" i="11" s="1"/>
  <c r="T3" i="11" s="1"/>
  <c r="U3" i="11" s="1"/>
  <c r="V3" i="11" s="1"/>
  <c r="W3" i="11" s="1"/>
  <c r="X3" i="11" s="1"/>
  <c r="Y3" i="11" s="1"/>
  <c r="Z3" i="11" s="1"/>
  <c r="AA3" i="11" s="1"/>
  <c r="AB3" i="11" s="1"/>
  <c r="AC3" i="11" s="1"/>
  <c r="AD3" i="11" s="1"/>
  <c r="AE3" i="11" s="1"/>
  <c r="AF3" i="11" s="1"/>
  <c r="P6" i="11" l="1"/>
  <c r="Q6" i="11" s="1"/>
  <c r="R6" i="11" s="1"/>
  <c r="P20" i="11" l="1"/>
  <c r="Q20" i="11"/>
  <c r="S6" i="11"/>
  <c r="R20" i="11"/>
  <c r="S20" i="11" l="1"/>
  <c r="T6" i="11"/>
  <c r="T20" i="11" l="1"/>
  <c r="U6" i="11"/>
  <c r="U20" i="11" l="1"/>
  <c r="V6" i="11"/>
  <c r="V20" i="11" l="1"/>
  <c r="W6" i="11"/>
  <c r="W20" i="11" l="1"/>
  <c r="X6" i="11"/>
  <c r="Y6" i="11" l="1"/>
  <c r="X20" i="11"/>
  <c r="Y20" i="11" l="1"/>
  <c r="Z6" i="11"/>
  <c r="AA6" i="11" l="1"/>
  <c r="Z20" i="11"/>
  <c r="AB6" i="11" l="1"/>
  <c r="AA20" i="11"/>
  <c r="AC6" i="11" l="1"/>
  <c r="AB20" i="11"/>
  <c r="AC20" i="11" l="1"/>
  <c r="AD6" i="11"/>
  <c r="AE6" i="11" l="1"/>
  <c r="AD20" i="11"/>
  <c r="AE20" i="11" l="1"/>
  <c r="AF6" i="11"/>
  <c r="AF20" i="11" s="1"/>
  <c r="AC8" i="3" l="1"/>
  <c r="AE8" i="3" s="1"/>
  <c r="AD8" i="3" l="1"/>
  <c r="AA9" i="3"/>
  <c r="AC9" i="3" l="1"/>
  <c r="AE9" i="3" s="1"/>
  <c r="AD9" i="3" l="1"/>
  <c r="AA10" i="3" s="1"/>
  <c r="AC10" i="3" l="1"/>
  <c r="AE10" i="3" s="1"/>
  <c r="AD10" i="3" l="1"/>
  <c r="AA11" i="3"/>
  <c r="AC11" i="3" l="1"/>
  <c r="AD11" i="3" l="1"/>
  <c r="AA12" i="3"/>
  <c r="AC12" i="3" l="1"/>
  <c r="AD12" i="3" l="1"/>
  <c r="AA13" i="3" s="1"/>
  <c r="AC13" i="3" l="1"/>
  <c r="AD13" i="3" l="1"/>
  <c r="AA19" i="3" l="1"/>
  <c r="AA27" i="3"/>
  <c r="AA35" i="3"/>
  <c r="AC35" i="3" s="1"/>
  <c r="AA34" i="3"/>
  <c r="AA20" i="3"/>
  <c r="AA28" i="3"/>
  <c r="AA36" i="3"/>
  <c r="AA21" i="3"/>
  <c r="AA29" i="3"/>
  <c r="AA37" i="3"/>
  <c r="AA22" i="3"/>
  <c r="AA30" i="3"/>
  <c r="AA38" i="3"/>
  <c r="AA14" i="3"/>
  <c r="AC14" i="3" s="1"/>
  <c r="AA15" i="3"/>
  <c r="AA23" i="3"/>
  <c r="AA31" i="3"/>
  <c r="AA16" i="3"/>
  <c r="AA24" i="3"/>
  <c r="AA32" i="3"/>
  <c r="AA26" i="3"/>
  <c r="AA17" i="3"/>
  <c r="AA25" i="3"/>
  <c r="AA33" i="3"/>
  <c r="AA18" i="3"/>
  <c r="AD14" i="3" l="1"/>
  <c r="AC15" i="3"/>
  <c r="AD15" i="3" l="1"/>
  <c r="AC16" i="3" l="1"/>
  <c r="AD16" i="3" l="1"/>
  <c r="AC17" i="3" l="1"/>
  <c r="AD17" i="3" l="1"/>
  <c r="AC18" i="3" l="1"/>
  <c r="AD18" i="3" l="1"/>
  <c r="AC19" i="3" l="1"/>
  <c r="AD19" i="3" l="1"/>
  <c r="AC20" i="3" l="1"/>
  <c r="AD20" i="3" l="1"/>
  <c r="AC21" i="3" l="1"/>
  <c r="AD21" i="3" l="1"/>
  <c r="AC22" i="3" l="1"/>
  <c r="AD22" i="3" l="1"/>
  <c r="AC23" i="3" l="1"/>
  <c r="AD23" i="3" l="1"/>
  <c r="AC24" i="3" l="1"/>
  <c r="AD24" i="3" l="1"/>
  <c r="AC25" i="3" l="1"/>
  <c r="AD25" i="3" l="1"/>
  <c r="AC26" i="3" l="1"/>
  <c r="AD26" i="3" l="1"/>
  <c r="AC27" i="3" l="1"/>
  <c r="AD27" i="3" l="1"/>
  <c r="AC28" i="3" l="1"/>
  <c r="AD28" i="3" l="1"/>
  <c r="AC29" i="3" l="1"/>
  <c r="AD29" i="3" l="1"/>
  <c r="AC30" i="3" l="1"/>
  <c r="AD30" i="3" l="1"/>
  <c r="AC31" i="3" l="1"/>
  <c r="AD31" i="3" l="1"/>
  <c r="AC32" i="3" l="1"/>
  <c r="AD32" i="3" l="1"/>
  <c r="AC33" i="3" l="1"/>
  <c r="AD33" i="3" l="1"/>
  <c r="AC34" i="3" l="1"/>
  <c r="AD34" i="3" l="1"/>
  <c r="AD35" i="3" s="1"/>
  <c r="AC36" i="3" l="1"/>
  <c r="AD36" i="3" l="1"/>
  <c r="AC37" i="3" l="1"/>
  <c r="AD37" i="3" l="1"/>
  <c r="AC38" i="3" l="1"/>
  <c r="AD38" i="3" l="1"/>
  <c r="E25" i="11"/>
  <c r="Q10" i="3" l="1"/>
  <c r="L11" i="3" s="1"/>
  <c r="V11" i="3" s="1"/>
  <c r="AT11" i="3" s="1"/>
  <c r="E26" i="11"/>
  <c r="S10" i="3" l="1"/>
  <c r="O11" i="3"/>
  <c r="AE11" i="3" s="1"/>
  <c r="F9" i="11"/>
  <c r="F10" i="11" s="1"/>
  <c r="F21" i="11" s="1"/>
  <c r="G12" i="3"/>
  <c r="U10" i="3" l="1"/>
  <c r="T10" i="3"/>
  <c r="F26" i="11"/>
  <c r="F25" i="11"/>
  <c r="I12" i="3"/>
  <c r="D13" i="3" s="1"/>
  <c r="H8" i="11" l="1"/>
  <c r="Q11" i="3"/>
  <c r="L12" i="3" s="1"/>
  <c r="V12" i="3" s="1"/>
  <c r="AT12" i="3" s="1"/>
  <c r="J12" i="3"/>
  <c r="K12" i="3"/>
  <c r="S11" i="3" l="1"/>
  <c r="O12" i="3"/>
  <c r="AE12" i="3" s="1"/>
  <c r="G9" i="11"/>
  <c r="G10" i="11" s="1"/>
  <c r="G21" i="11" s="1"/>
  <c r="G25" i="11"/>
  <c r="G13" i="3"/>
  <c r="U11" i="3" l="1"/>
  <c r="T11" i="3"/>
  <c r="G26" i="11"/>
  <c r="I13" i="3"/>
  <c r="J13" i="3" s="1"/>
  <c r="D14" i="3" l="1"/>
  <c r="G14" i="3" s="1"/>
  <c r="K13" i="3"/>
  <c r="Q12" i="3"/>
  <c r="L13" i="3" s="1"/>
  <c r="V13" i="3" s="1"/>
  <c r="AT13" i="3" s="1"/>
  <c r="I8" i="11" l="1"/>
  <c r="S12" i="3"/>
  <c r="I14" i="3"/>
  <c r="K14" i="3" s="1"/>
  <c r="U12" i="3" l="1"/>
  <c r="T12" i="3"/>
  <c r="J14" i="3"/>
  <c r="D15" i="3"/>
  <c r="J8" i="11"/>
  <c r="O13" i="3"/>
  <c r="H9" i="11"/>
  <c r="H10" i="11" s="1"/>
  <c r="H21" i="11" s="1"/>
  <c r="H26" i="11"/>
  <c r="H25" i="11" l="1"/>
  <c r="AE13" i="3"/>
  <c r="Q13" i="3"/>
  <c r="L14" i="3" s="1"/>
  <c r="G15" i="3"/>
  <c r="I9" i="11" l="1"/>
  <c r="I10" i="11" s="1"/>
  <c r="I21" i="11" s="1"/>
  <c r="V14" i="3"/>
  <c r="AT14" i="3" s="1"/>
  <c r="O14" i="3"/>
  <c r="AE14" i="3" s="1"/>
  <c r="S13" i="3"/>
  <c r="I15" i="3"/>
  <c r="K15" i="3"/>
  <c r="D16" i="3"/>
  <c r="J15" i="3"/>
  <c r="U13" i="3" l="1"/>
  <c r="T13" i="3"/>
  <c r="I25" i="11"/>
  <c r="K8" i="11"/>
  <c r="I26" i="11"/>
  <c r="Q14" i="3"/>
  <c r="L15" i="3" s="1"/>
  <c r="V15" i="3" s="1"/>
  <c r="AT15" i="3" s="1"/>
  <c r="S14" i="3" l="1"/>
  <c r="J9" i="11"/>
  <c r="J10" i="11" s="1"/>
  <c r="J21" i="11" s="1"/>
  <c r="O15" i="3"/>
  <c r="AE15" i="3" s="1"/>
  <c r="G16" i="3"/>
  <c r="U14" i="3" l="1"/>
  <c r="T14" i="3"/>
  <c r="I16" i="3"/>
  <c r="D17" i="3" s="1"/>
  <c r="J25" i="11"/>
  <c r="K16" i="3" l="1"/>
  <c r="J16" i="3"/>
  <c r="L8" i="11"/>
  <c r="J26" i="11"/>
  <c r="Q15" i="3"/>
  <c r="L16" i="3" s="1"/>
  <c r="V16" i="3" s="1"/>
  <c r="AT16" i="3" s="1"/>
  <c r="S15" i="3" l="1"/>
  <c r="K9" i="11"/>
  <c r="K10" i="11" s="1"/>
  <c r="K21" i="11" s="1"/>
  <c r="O16" i="3"/>
  <c r="AE16" i="3" s="1"/>
  <c r="G17" i="3"/>
  <c r="AH8" i="3"/>
  <c r="U15" i="3" l="1"/>
  <c r="T15" i="3"/>
  <c r="K25" i="11"/>
  <c r="I17" i="3"/>
  <c r="K17" i="3" s="1"/>
  <c r="J17" i="3"/>
  <c r="D18" i="3" l="1"/>
  <c r="M8" i="11"/>
  <c r="K26" i="11"/>
  <c r="Q16" i="3"/>
  <c r="L17" i="3" s="1"/>
  <c r="V17" i="3" s="1"/>
  <c r="AT17" i="3" s="1"/>
  <c r="C11" i="11"/>
  <c r="AJ8" i="3"/>
  <c r="AM8" i="3" s="1"/>
  <c r="AO8" i="3" s="1"/>
  <c r="R8" i="3"/>
  <c r="S16" i="3" l="1"/>
  <c r="L9" i="11"/>
  <c r="L10" i="11" s="1"/>
  <c r="L21" i="11" s="1"/>
  <c r="B55" i="2"/>
  <c r="C22" i="11"/>
  <c r="C23" i="11" s="1"/>
  <c r="R9" i="3"/>
  <c r="O17" i="3"/>
  <c r="AE17" i="3" s="1"/>
  <c r="AK8" i="3"/>
  <c r="AN8" i="3" s="1"/>
  <c r="C16" i="11"/>
  <c r="U16" i="3" l="1"/>
  <c r="T16" i="3"/>
  <c r="L26" i="11"/>
  <c r="L25" i="11"/>
  <c r="D22" i="11"/>
  <c r="D23" i="11" s="1"/>
  <c r="Q17" i="3"/>
  <c r="L18" i="3" s="1"/>
  <c r="V18" i="3" s="1"/>
  <c r="AT18" i="3" s="1"/>
  <c r="G18" i="3"/>
  <c r="C17" i="11"/>
  <c r="AH9" i="3"/>
  <c r="S17" i="3" l="1"/>
  <c r="M9" i="11"/>
  <c r="M10" i="11" s="1"/>
  <c r="M21" i="11" s="1"/>
  <c r="AU8" i="3"/>
  <c r="AY8" i="3" s="1"/>
  <c r="C13" i="11"/>
  <c r="AJ9" i="3"/>
  <c r="C24" i="11"/>
  <c r="D11" i="11"/>
  <c r="U17" i="3" l="1"/>
  <c r="T17" i="3"/>
  <c r="AZ8" i="3"/>
  <c r="AW8" i="3"/>
  <c r="AX8" i="3" s="1"/>
  <c r="C12" i="11"/>
  <c r="C18" i="11" s="1"/>
  <c r="AK9" i="3"/>
  <c r="AN9" i="3" s="1"/>
  <c r="AM9" i="3"/>
  <c r="AO9" i="3" s="1"/>
  <c r="D16" i="11"/>
  <c r="D17" i="11" l="1"/>
  <c r="D13" i="11" l="1"/>
  <c r="AU9" i="3"/>
  <c r="AY9" i="3" s="1"/>
  <c r="AW9" i="3" l="1"/>
  <c r="D12" i="11"/>
  <c r="D18" i="11" s="1"/>
  <c r="AX9" i="3"/>
  <c r="AZ9" i="3"/>
  <c r="AH10" i="3"/>
  <c r="R10" i="3"/>
  <c r="E22" i="11" l="1"/>
  <c r="E23" i="11" s="1"/>
  <c r="AJ10" i="3"/>
  <c r="AM10" i="3" s="1"/>
  <c r="AO10" i="3" s="1"/>
  <c r="E11" i="11"/>
  <c r="D24" i="11"/>
  <c r="E16" i="11" l="1"/>
  <c r="AK10" i="3"/>
  <c r="E17" i="11" l="1"/>
  <c r="AN10" i="3"/>
  <c r="E13" i="11" s="1"/>
  <c r="AU10" i="3" l="1"/>
  <c r="AY10" i="3" s="1"/>
  <c r="AH11" i="3"/>
  <c r="E12" i="11" l="1"/>
  <c r="E18" i="11" s="1"/>
  <c r="AZ10" i="3"/>
  <c r="AW10" i="3"/>
  <c r="AX10" i="3" s="1"/>
  <c r="AH12" i="3"/>
  <c r="E24" i="11"/>
  <c r="R11" i="3"/>
  <c r="AJ11" i="3"/>
  <c r="F11" i="11"/>
  <c r="F22" i="11" l="1"/>
  <c r="F23" i="11" s="1"/>
  <c r="AJ12" i="3"/>
  <c r="G16" i="11" s="1"/>
  <c r="AT53" i="3"/>
  <c r="T44" i="12" s="1"/>
  <c r="G11" i="11"/>
  <c r="F24" i="11"/>
  <c r="R12" i="3"/>
  <c r="AK11" i="3"/>
  <c r="AN11" i="3" s="1"/>
  <c r="AM11" i="3"/>
  <c r="AO11" i="3" s="1"/>
  <c r="F16" i="11"/>
  <c r="G22" i="11" l="1"/>
  <c r="G23" i="11" s="1"/>
  <c r="AM12" i="3"/>
  <c r="AO12" i="3" s="1"/>
  <c r="F17" i="11"/>
  <c r="AK12" i="3"/>
  <c r="AN12" i="3" s="1"/>
  <c r="AH13" i="3"/>
  <c r="AK56" i="3" l="1"/>
  <c r="Q119" i="12" s="1"/>
  <c r="G17" i="11"/>
  <c r="F13" i="11"/>
  <c r="AU11" i="3"/>
  <c r="AY11" i="3" s="1"/>
  <c r="AO56" i="3"/>
  <c r="AM56" i="3"/>
  <c r="AW11" i="3" l="1"/>
  <c r="AX11" i="3" s="1"/>
  <c r="R13" i="3"/>
  <c r="AJ13" i="3"/>
  <c r="AN56" i="3"/>
  <c r="G13" i="11"/>
  <c r="AU12" i="3"/>
  <c r="AY12" i="3" s="1"/>
  <c r="G24" i="11"/>
  <c r="H11" i="11"/>
  <c r="F12" i="11"/>
  <c r="F18" i="11" s="1"/>
  <c r="AZ11" i="3"/>
  <c r="AZ12" i="3" l="1"/>
  <c r="AZ53" i="3" s="1"/>
  <c r="AW12" i="3"/>
  <c r="H22" i="11"/>
  <c r="H23" i="11" s="1"/>
  <c r="AH14" i="3"/>
  <c r="R119" i="12"/>
  <c r="R44" i="12"/>
  <c r="AU53" i="3"/>
  <c r="G12" i="11"/>
  <c r="G18" i="11" s="1"/>
  <c r="AK13" i="3"/>
  <c r="AN13" i="3" s="1"/>
  <c r="H16" i="11"/>
  <c r="AM13" i="3"/>
  <c r="AO13" i="3" s="1"/>
  <c r="H17" i="11" l="1"/>
  <c r="S44" i="12"/>
  <c r="S119" i="12"/>
  <c r="AW53" i="3"/>
  <c r="AX12" i="3"/>
  <c r="AX53" i="3" s="1"/>
  <c r="H24" i="11" l="1"/>
  <c r="I11" i="11"/>
  <c r="R14" i="3"/>
  <c r="AJ14" i="3"/>
  <c r="H13" i="11"/>
  <c r="AU13" i="3"/>
  <c r="AY13" i="3" s="1"/>
  <c r="AW13" i="3" l="1"/>
  <c r="AZ13" i="3"/>
  <c r="I22" i="11"/>
  <c r="I23" i="11" s="1"/>
  <c r="AX13" i="3"/>
  <c r="H12" i="11"/>
  <c r="H18" i="11" s="1"/>
  <c r="I16" i="11"/>
  <c r="AK14" i="3"/>
  <c r="AN14" i="3" s="1"/>
  <c r="AM14" i="3"/>
  <c r="AO14" i="3" s="1"/>
  <c r="AH15" i="3"/>
  <c r="I17" i="11" l="1"/>
  <c r="J11" i="11" l="1"/>
  <c r="I24" i="11"/>
  <c r="I13" i="11"/>
  <c r="AU14" i="3"/>
  <c r="AY14" i="3" s="1"/>
  <c r="R15" i="3"/>
  <c r="AJ15" i="3"/>
  <c r="AW14" i="3" l="1"/>
  <c r="J22" i="11"/>
  <c r="J23" i="11" s="1"/>
  <c r="J16" i="11"/>
  <c r="AK15" i="3"/>
  <c r="AN15" i="3" s="1"/>
  <c r="AM15" i="3"/>
  <c r="AO15" i="3" s="1"/>
  <c r="AX14" i="3"/>
  <c r="I12" i="11"/>
  <c r="I18" i="11" s="1"/>
  <c r="AZ14" i="3"/>
  <c r="AH16" i="3"/>
  <c r="J17" i="11" l="1"/>
  <c r="AU15" i="3"/>
  <c r="AY15" i="3" s="1"/>
  <c r="AW15" i="3" l="1"/>
  <c r="J13" i="11"/>
  <c r="J24" i="11"/>
  <c r="K11" i="11"/>
  <c r="R16" i="3"/>
  <c r="AJ16" i="3"/>
  <c r="K22" i="11" l="1"/>
  <c r="K23" i="11" s="1"/>
  <c r="AK16" i="3"/>
  <c r="AN16" i="3" s="1"/>
  <c r="K16" i="11"/>
  <c r="AM16" i="3"/>
  <c r="AO16" i="3" s="1"/>
  <c r="J12" i="11"/>
  <c r="J18" i="11" s="1"/>
  <c r="AX15" i="3"/>
  <c r="AZ15" i="3"/>
  <c r="AH17" i="3"/>
  <c r="K17" i="11" l="1"/>
  <c r="AU16" i="3" l="1"/>
  <c r="AY16" i="3" s="1"/>
  <c r="K13" i="11"/>
  <c r="L11" i="11"/>
  <c r="K24" i="11"/>
  <c r="AT54" i="3"/>
  <c r="T45" i="12" s="1"/>
  <c r="R17" i="3"/>
  <c r="AJ17" i="3"/>
  <c r="AW16" i="3" l="1"/>
  <c r="AZ16" i="3"/>
  <c r="L22" i="11"/>
  <c r="L23" i="11" s="1"/>
  <c r="L16" i="11"/>
  <c r="AK17" i="3"/>
  <c r="AN17" i="3" s="1"/>
  <c r="AM17" i="3"/>
  <c r="AO17" i="3" s="1"/>
  <c r="AX16" i="3"/>
  <c r="K12" i="11"/>
  <c r="K18" i="11" s="1"/>
  <c r="AO57" i="3" l="1"/>
  <c r="AM57" i="3"/>
  <c r="AK57" i="3"/>
  <c r="Q120" i="12" s="1"/>
  <c r="L17" i="11"/>
  <c r="AN57" i="3" l="1"/>
  <c r="L13" i="11"/>
  <c r="AU17" i="3"/>
  <c r="AY17" i="3" s="1"/>
  <c r="AW17" i="3" l="1"/>
  <c r="AZ17" i="3"/>
  <c r="AZ54" i="3" s="1"/>
  <c r="L12" i="11"/>
  <c r="L18" i="11" s="1"/>
  <c r="AU54" i="3"/>
  <c r="R45" i="12"/>
  <c r="R120" i="12"/>
  <c r="AX17" i="3" l="1"/>
  <c r="AX54" i="3" s="1"/>
  <c r="AW54" i="3"/>
  <c r="S45" i="12"/>
  <c r="S120" i="12"/>
  <c r="M11" i="11"/>
  <c r="L24" i="11"/>
  <c r="B70" i="2"/>
  <c r="B75" i="2" s="1"/>
  <c r="F21" i="3" l="1"/>
  <c r="AI21" i="3" s="1"/>
  <c r="F30" i="3"/>
  <c r="AI30" i="3" s="1"/>
  <c r="F20" i="3"/>
  <c r="AI20" i="3" s="1"/>
  <c r="F29" i="3"/>
  <c r="AI29" i="3" s="1"/>
  <c r="F19" i="3"/>
  <c r="AI19" i="3" s="1"/>
  <c r="F28" i="3"/>
  <c r="AI28" i="3" s="1"/>
  <c r="F18" i="3"/>
  <c r="AI18" i="3" s="1"/>
  <c r="F32" i="3"/>
  <c r="AI32" i="3" s="1"/>
  <c r="F22" i="3"/>
  <c r="AI22" i="3" s="1"/>
  <c r="F31" i="3"/>
  <c r="AI31" i="3" s="1"/>
  <c r="F26" i="3"/>
  <c r="AI26" i="3" s="1"/>
  <c r="F25" i="3"/>
  <c r="AI25" i="3" s="1"/>
  <c r="F24" i="3"/>
  <c r="AI24" i="3" s="1"/>
  <c r="F23" i="3"/>
  <c r="AI23" i="3" s="1"/>
  <c r="F27" i="3"/>
  <c r="AI27" i="3" s="1"/>
  <c r="B76" i="2"/>
  <c r="I18" i="3" l="1"/>
  <c r="K18" i="3" l="1"/>
  <c r="D19" i="3"/>
  <c r="J18" i="3"/>
  <c r="N8" i="11" l="1"/>
  <c r="O18" i="3"/>
  <c r="AE18" i="3" s="1"/>
  <c r="Q18" i="3" l="1"/>
  <c r="L19" i="3" s="1"/>
  <c r="V19" i="3" s="1"/>
  <c r="AT19" i="3" s="1"/>
  <c r="M26" i="11"/>
  <c r="AH18" i="3"/>
  <c r="M25" i="11"/>
  <c r="R18" i="3"/>
  <c r="G19" i="3"/>
  <c r="S18" i="3" l="1"/>
  <c r="N9" i="11"/>
  <c r="N10" i="11" s="1"/>
  <c r="AJ18" i="3"/>
  <c r="M16" i="11" s="1"/>
  <c r="I19" i="3"/>
  <c r="U18" i="3" l="1"/>
  <c r="T18" i="3"/>
  <c r="M22" i="11"/>
  <c r="M23" i="11" s="1"/>
  <c r="N21" i="11"/>
  <c r="M24" i="11" s="1"/>
  <c r="N11" i="11"/>
  <c r="AK18" i="3"/>
  <c r="AN18" i="3" s="1"/>
  <c r="AM18" i="3"/>
  <c r="AO18" i="3" s="1"/>
  <c r="K19" i="3"/>
  <c r="D20" i="3"/>
  <c r="J19" i="3"/>
  <c r="O8" i="11" l="1"/>
  <c r="M17" i="11"/>
  <c r="M13" i="11"/>
  <c r="AU18" i="3"/>
  <c r="AY18" i="3" s="1"/>
  <c r="AW18" i="3" l="1"/>
  <c r="AZ18" i="3"/>
  <c r="M12" i="11"/>
  <c r="M18" i="11" s="1"/>
  <c r="AX18" i="3"/>
  <c r="O19" i="3"/>
  <c r="AE19" i="3" s="1"/>
  <c r="N25" i="11" l="1"/>
  <c r="G20" i="3"/>
  <c r="AH19" i="3"/>
  <c r="Q19" i="3" l="1"/>
  <c r="L20" i="3" s="1"/>
  <c r="V20" i="3" s="1"/>
  <c r="AT20" i="3" s="1"/>
  <c r="N26" i="11"/>
  <c r="I20" i="3"/>
  <c r="S19" i="3" l="1"/>
  <c r="T19" i="3" s="1"/>
  <c r="O9" i="11"/>
  <c r="O10" i="11" s="1"/>
  <c r="O21" i="11" s="1"/>
  <c r="N24" i="11" s="1"/>
  <c r="R19" i="3"/>
  <c r="AJ19" i="3"/>
  <c r="N16" i="11" s="1"/>
  <c r="K20" i="3"/>
  <c r="D21" i="3"/>
  <c r="J20" i="3"/>
  <c r="P8" i="11" l="1"/>
  <c r="N22" i="11"/>
  <c r="N23" i="11" s="1"/>
  <c r="U19" i="3"/>
  <c r="O11" i="11"/>
  <c r="AM19" i="3"/>
  <c r="AK19" i="3"/>
  <c r="AO19" i="3" l="1"/>
  <c r="AN19" i="3"/>
  <c r="N17" i="11"/>
  <c r="AU19" i="3"/>
  <c r="AY19" i="3" s="1"/>
  <c r="N13" i="11"/>
  <c r="AW19" i="3" l="1"/>
  <c r="AZ19" i="3"/>
  <c r="O20" i="3"/>
  <c r="AE20" i="3" s="1"/>
  <c r="AX19" i="3"/>
  <c r="N12" i="11"/>
  <c r="O26" i="11" l="1"/>
  <c r="AH20" i="3"/>
  <c r="O25" i="11"/>
  <c r="Q20" i="3"/>
  <c r="L21" i="3" s="1"/>
  <c r="V21" i="3" s="1"/>
  <c r="AT21" i="3" s="1"/>
  <c r="N18" i="11"/>
  <c r="G21" i="3"/>
  <c r="S20" i="3" l="1"/>
  <c r="T20" i="3" s="1"/>
  <c r="P9" i="11"/>
  <c r="P10" i="11" s="1"/>
  <c r="R20" i="3"/>
  <c r="AJ20" i="3"/>
  <c r="AM20" i="3" s="1"/>
  <c r="O22" i="11"/>
  <c r="O23" i="11" s="1"/>
  <c r="I21" i="3"/>
  <c r="U20" i="3" l="1"/>
  <c r="P21" i="11"/>
  <c r="O24" i="11" s="1"/>
  <c r="P11" i="11"/>
  <c r="AK20" i="3"/>
  <c r="O17" i="11" s="1"/>
  <c r="O16" i="11"/>
  <c r="K21" i="3"/>
  <c r="D22" i="3"/>
  <c r="J21" i="3"/>
  <c r="Q8" i="11" l="1"/>
  <c r="AN20" i="3"/>
  <c r="AU20" i="3" s="1"/>
  <c r="AY20" i="3" s="1"/>
  <c r="AO20" i="3"/>
  <c r="AW20" i="3" l="1"/>
  <c r="O13" i="11"/>
  <c r="AX20" i="3"/>
  <c r="AZ20" i="3"/>
  <c r="O12" i="11"/>
  <c r="O18" i="11" s="1"/>
  <c r="O21" i="3" l="1"/>
  <c r="AE21" i="3" s="1"/>
  <c r="P25" i="11" l="1"/>
  <c r="G22" i="3"/>
  <c r="AH21" i="3"/>
  <c r="Q21" i="3" l="1"/>
  <c r="L22" i="3" s="1"/>
  <c r="V22" i="3" s="1"/>
  <c r="AT22" i="3" s="1"/>
  <c r="AT55" i="3" s="1"/>
  <c r="T46" i="12" s="1"/>
  <c r="P26" i="11"/>
  <c r="I22" i="3"/>
  <c r="S21" i="3" l="1"/>
  <c r="Q9" i="11"/>
  <c r="Q10" i="11" s="1"/>
  <c r="Q21" i="11" s="1"/>
  <c r="P24" i="11" s="1"/>
  <c r="AJ21" i="3"/>
  <c r="P16" i="11" s="1"/>
  <c r="R21" i="3"/>
  <c r="P22" i="11"/>
  <c r="P23" i="11" s="1"/>
  <c r="K22" i="3"/>
  <c r="D23" i="3"/>
  <c r="J22" i="3"/>
  <c r="U21" i="3" l="1"/>
  <c r="T21" i="3"/>
  <c r="R8" i="11"/>
  <c r="Q11" i="11"/>
  <c r="AM21" i="3"/>
  <c r="AO21" i="3" s="1"/>
  <c r="AK21" i="3"/>
  <c r="P17" i="11" s="1"/>
  <c r="AN21" i="3" l="1"/>
  <c r="P13" i="11"/>
  <c r="O22" i="3"/>
  <c r="AE22" i="3" s="1"/>
  <c r="AU21" i="3" l="1"/>
  <c r="AY21" i="3" s="1"/>
  <c r="AH22" i="3"/>
  <c r="Q25" i="11"/>
  <c r="Q22" i="3"/>
  <c r="L23" i="3" s="1"/>
  <c r="V23" i="3" s="1"/>
  <c r="AT23" i="3" s="1"/>
  <c r="Q26" i="11"/>
  <c r="G23" i="3"/>
  <c r="P12" i="11" l="1"/>
  <c r="P18" i="11" s="1"/>
  <c r="AW21" i="3"/>
  <c r="AZ21" i="3"/>
  <c r="AX21" i="3"/>
  <c r="S22" i="3"/>
  <c r="R9" i="11"/>
  <c r="R10" i="11" s="1"/>
  <c r="R21" i="11" s="1"/>
  <c r="Q24" i="11" s="1"/>
  <c r="R22" i="3"/>
  <c r="AJ22" i="3"/>
  <c r="Q16" i="11" s="1"/>
  <c r="Q22" i="11"/>
  <c r="Q23" i="11" s="1"/>
  <c r="I23" i="3"/>
  <c r="U22" i="3" l="1"/>
  <c r="T22" i="3"/>
  <c r="R11" i="11"/>
  <c r="AM22" i="3"/>
  <c r="AK22" i="3"/>
  <c r="AK58" i="3" s="1"/>
  <c r="Q121" i="12" s="1"/>
  <c r="K23" i="3"/>
  <c r="D24" i="3"/>
  <c r="J23" i="3"/>
  <c r="AM58" i="3" l="1"/>
  <c r="AO22" i="3"/>
  <c r="AO58" i="3" s="1"/>
  <c r="S8" i="11"/>
  <c r="AN22" i="3"/>
  <c r="Q17" i="11"/>
  <c r="Q13" i="11"/>
  <c r="AU22" i="3" l="1"/>
  <c r="AY22" i="3" s="1"/>
  <c r="AN58" i="3"/>
  <c r="R46" i="12" s="1"/>
  <c r="O23" i="3"/>
  <c r="AE23" i="3" s="1"/>
  <c r="AU55" i="3" l="1"/>
  <c r="AW22" i="3"/>
  <c r="AX22" i="3" s="1"/>
  <c r="AX55" i="3" s="1"/>
  <c r="AZ22" i="3"/>
  <c r="AZ55" i="3" s="1"/>
  <c r="R25" i="11"/>
  <c r="Q12" i="11"/>
  <c r="Q18" i="11" s="1"/>
  <c r="R121" i="12"/>
  <c r="S121" i="12"/>
  <c r="S46" i="12"/>
  <c r="G24" i="3"/>
  <c r="AH23" i="3"/>
  <c r="AW55" i="3" l="1"/>
  <c r="R26" i="11"/>
  <c r="Q23" i="3"/>
  <c r="L24" i="3" s="1"/>
  <c r="V24" i="3" s="1"/>
  <c r="AT24" i="3" s="1"/>
  <c r="I24" i="3"/>
  <c r="S23" i="3" l="1"/>
  <c r="T23" i="3" s="1"/>
  <c r="S9" i="11"/>
  <c r="S10" i="11" s="1"/>
  <c r="R23" i="3"/>
  <c r="AJ23" i="3"/>
  <c r="AK23" i="3" s="1"/>
  <c r="K24" i="3"/>
  <c r="D25" i="3"/>
  <c r="J24" i="3"/>
  <c r="T8" i="11" l="1"/>
  <c r="U23" i="3"/>
  <c r="R22" i="11"/>
  <c r="R23" i="11" s="1"/>
  <c r="R16" i="11"/>
  <c r="S21" i="11"/>
  <c r="R24" i="11" s="1"/>
  <c r="S11" i="11"/>
  <c r="AM23" i="3"/>
  <c r="AO23" i="3" s="1"/>
  <c r="R17" i="11"/>
  <c r="AN23" i="3" l="1"/>
  <c r="AU23" i="3" s="1"/>
  <c r="AY23" i="3" s="1"/>
  <c r="O24" i="3"/>
  <c r="AE24" i="3" s="1"/>
  <c r="AW23" i="3" l="1"/>
  <c r="AX23" i="3" s="1"/>
  <c r="AZ23" i="3"/>
  <c r="R13" i="11"/>
  <c r="S25" i="11"/>
  <c r="AH24" i="3"/>
  <c r="G25" i="3"/>
  <c r="R12" i="11"/>
  <c r="R18" i="11" s="1"/>
  <c r="S26" i="11" l="1"/>
  <c r="Q24" i="3"/>
  <c r="L25" i="3" s="1"/>
  <c r="V25" i="3" s="1"/>
  <c r="AT25" i="3" s="1"/>
  <c r="I25" i="3"/>
  <c r="S24" i="3" l="1"/>
  <c r="T9" i="11"/>
  <c r="T10" i="11" s="1"/>
  <c r="R24" i="3"/>
  <c r="S22" i="11"/>
  <c r="S23" i="11" s="1"/>
  <c r="K25" i="3"/>
  <c r="D26" i="3"/>
  <c r="AJ24" i="3"/>
  <c r="AK24" i="3" s="1"/>
  <c r="J25" i="3"/>
  <c r="U24" i="3" l="1"/>
  <c r="T24" i="3"/>
  <c r="U8" i="11"/>
  <c r="AN24" i="3"/>
  <c r="T21" i="11"/>
  <c r="S24" i="11" s="1"/>
  <c r="T11" i="11"/>
  <c r="S16" i="11"/>
  <c r="AM24" i="3"/>
  <c r="S17" i="11"/>
  <c r="AO24" i="3" l="1"/>
  <c r="AU24" i="3"/>
  <c r="AY24" i="3" s="1"/>
  <c r="S13" i="11"/>
  <c r="AW24" i="3" l="1"/>
  <c r="AZ24" i="3"/>
  <c r="O25" i="3"/>
  <c r="AE25" i="3" s="1"/>
  <c r="S12" i="11"/>
  <c r="S18" i="11" s="1"/>
  <c r="AX24" i="3"/>
  <c r="T25" i="11" l="1"/>
  <c r="G26" i="3"/>
  <c r="AH25" i="3"/>
  <c r="T26" i="11" l="1"/>
  <c r="Q25" i="3"/>
  <c r="L26" i="3" s="1"/>
  <c r="V26" i="3" s="1"/>
  <c r="AT26" i="3" s="1"/>
  <c r="I26" i="3"/>
  <c r="S25" i="3" l="1"/>
  <c r="U9" i="11"/>
  <c r="U10" i="11" s="1"/>
  <c r="R25" i="3"/>
  <c r="AJ25" i="3"/>
  <c r="T16" i="11" s="1"/>
  <c r="K26" i="3"/>
  <c r="D27" i="3"/>
  <c r="J26" i="3"/>
  <c r="U25" i="3" l="1"/>
  <c r="T25" i="3"/>
  <c r="T22" i="11"/>
  <c r="T23" i="11" s="1"/>
  <c r="V8" i="11"/>
  <c r="AM25" i="3"/>
  <c r="AO25" i="3" s="1"/>
  <c r="AK25" i="3"/>
  <c r="T17" i="11" s="1"/>
  <c r="U21" i="11"/>
  <c r="T24" i="11" s="1"/>
  <c r="U11" i="11"/>
  <c r="AN25" i="3" l="1"/>
  <c r="T13" i="11" s="1"/>
  <c r="AU25" i="3" l="1"/>
  <c r="AY25" i="3" s="1"/>
  <c r="O26" i="3"/>
  <c r="AE26" i="3" s="1"/>
  <c r="AW25" i="3" l="1"/>
  <c r="AX25" i="3" s="1"/>
  <c r="AZ25" i="3"/>
  <c r="T12" i="11"/>
  <c r="T18" i="11" s="1"/>
  <c r="AH26" i="3"/>
  <c r="U25" i="11"/>
  <c r="G27" i="3"/>
  <c r="U26" i="11" l="1"/>
  <c r="Q26" i="3"/>
  <c r="L27" i="3" s="1"/>
  <c r="V27" i="3" s="1"/>
  <c r="AT27" i="3" s="1"/>
  <c r="AT56" i="3" s="1"/>
  <c r="T47" i="12" s="1"/>
  <c r="I27" i="3"/>
  <c r="S26" i="3" l="1"/>
  <c r="R26" i="3"/>
  <c r="V9" i="11"/>
  <c r="V10" i="11" s="1"/>
  <c r="U22" i="11"/>
  <c r="U23" i="11" s="1"/>
  <c r="K27" i="3"/>
  <c r="D28" i="3"/>
  <c r="AJ26" i="3"/>
  <c r="U16" i="11" s="1"/>
  <c r="J27" i="3"/>
  <c r="U26" i="3" l="1"/>
  <c r="T26" i="3"/>
  <c r="W8" i="11"/>
  <c r="V21" i="11"/>
  <c r="U24" i="11" s="1"/>
  <c r="V11" i="11"/>
  <c r="AM26" i="3"/>
  <c r="AO26" i="3" s="1"/>
  <c r="AK26" i="3"/>
  <c r="U17" i="11" s="1"/>
  <c r="AN26" i="3" l="1"/>
  <c r="U13" i="11"/>
  <c r="O27" i="3"/>
  <c r="AE27" i="3" s="1"/>
  <c r="V25" i="11" l="1"/>
  <c r="AU26" i="3"/>
  <c r="AY26" i="3" s="1"/>
  <c r="G28" i="3"/>
  <c r="AH27" i="3"/>
  <c r="AW26" i="3" l="1"/>
  <c r="AZ26" i="3"/>
  <c r="AX26" i="3"/>
  <c r="U12" i="11"/>
  <c r="U18" i="11" s="1"/>
  <c r="V26" i="11"/>
  <c r="Q27" i="3"/>
  <c r="L28" i="3" s="1"/>
  <c r="V28" i="3" s="1"/>
  <c r="AT28" i="3" s="1"/>
  <c r="I28" i="3"/>
  <c r="S27" i="3" l="1"/>
  <c r="R27" i="3"/>
  <c r="W9" i="11"/>
  <c r="W10" i="11" s="1"/>
  <c r="AJ27" i="3"/>
  <c r="AK27" i="3" s="1"/>
  <c r="V22" i="11"/>
  <c r="V23" i="11" s="1"/>
  <c r="K28" i="3"/>
  <c r="D29" i="3"/>
  <c r="J28" i="3"/>
  <c r="U27" i="3" l="1"/>
  <c r="T27" i="3"/>
  <c r="X8" i="11"/>
  <c r="AN27" i="3"/>
  <c r="V16" i="11"/>
  <c r="AM27" i="3"/>
  <c r="W21" i="11"/>
  <c r="V24" i="11" s="1"/>
  <c r="W11" i="11"/>
  <c r="V17" i="11"/>
  <c r="AK59" i="3"/>
  <c r="Q122" i="12" s="1"/>
  <c r="AM59" i="3" l="1"/>
  <c r="AO27" i="3"/>
  <c r="AO59" i="3" s="1"/>
  <c r="V13" i="11"/>
  <c r="AN59" i="3"/>
  <c r="AU27" i="3"/>
  <c r="AY27" i="3" s="1"/>
  <c r="AZ27" i="3" l="1"/>
  <c r="AZ56" i="3" s="1"/>
  <c r="AW27" i="3"/>
  <c r="R47" i="12"/>
  <c r="R122" i="12"/>
  <c r="O28" i="3"/>
  <c r="AE28" i="3" s="1"/>
  <c r="AU56" i="3"/>
  <c r="V12" i="11"/>
  <c r="V18" i="11" s="1"/>
  <c r="W25" i="11" l="1"/>
  <c r="S47" i="12"/>
  <c r="S122" i="12"/>
  <c r="G29" i="3"/>
  <c r="AX27" i="3"/>
  <c r="AX56" i="3" s="1"/>
  <c r="AW56" i="3"/>
  <c r="AH28" i="3"/>
  <c r="W26" i="11" l="1"/>
  <c r="Q28" i="3"/>
  <c r="L29" i="3" s="1"/>
  <c r="V29" i="3" s="1"/>
  <c r="AT29" i="3" s="1"/>
  <c r="I29" i="3"/>
  <c r="S28" i="3" l="1"/>
  <c r="R28" i="3"/>
  <c r="X9" i="11"/>
  <c r="X10" i="11" s="1"/>
  <c r="AJ28" i="3"/>
  <c r="W16" i="11" s="1"/>
  <c r="W22" i="11"/>
  <c r="W23" i="11" s="1"/>
  <c r="K29" i="3"/>
  <c r="D30" i="3"/>
  <c r="J29" i="3"/>
  <c r="U28" i="3" l="1"/>
  <c r="T28" i="3"/>
  <c r="Y8" i="11"/>
  <c r="AM28" i="3"/>
  <c r="AO28" i="3" s="1"/>
  <c r="AK28" i="3"/>
  <c r="W17" i="11" s="1"/>
  <c r="X21" i="11"/>
  <c r="W24" i="11" s="1"/>
  <c r="X11" i="11"/>
  <c r="AN28" i="3" l="1"/>
  <c r="AU28" i="3"/>
  <c r="AY28" i="3" s="1"/>
  <c r="AW28" i="3" l="1"/>
  <c r="W13" i="11"/>
  <c r="O29" i="3"/>
  <c r="AE29" i="3" s="1"/>
  <c r="W12" i="11"/>
  <c r="W18" i="11" s="1"/>
  <c r="AX28" i="3"/>
  <c r="AZ28" i="3"/>
  <c r="X25" i="11" l="1"/>
  <c r="AH29" i="3"/>
  <c r="G30" i="3"/>
  <c r="Q29" i="3" l="1"/>
  <c r="L30" i="3" s="1"/>
  <c r="V30" i="3" s="1"/>
  <c r="AT30" i="3" s="1"/>
  <c r="X26" i="11"/>
  <c r="I30" i="3"/>
  <c r="S29" i="3" l="1"/>
  <c r="Y9" i="11"/>
  <c r="Y10" i="11" s="1"/>
  <c r="Y21" i="11" s="1"/>
  <c r="X24" i="11" s="1"/>
  <c r="R29" i="3"/>
  <c r="AJ29" i="3"/>
  <c r="X16" i="11" s="1"/>
  <c r="X22" i="11"/>
  <c r="X23" i="11" s="1"/>
  <c r="K30" i="3"/>
  <c r="D31" i="3"/>
  <c r="J30" i="3"/>
  <c r="U29" i="3" l="1"/>
  <c r="T29" i="3"/>
  <c r="Z8" i="11"/>
  <c r="Y11" i="11"/>
  <c r="AK29" i="3"/>
  <c r="X17" i="11" s="1"/>
  <c r="AM29" i="3"/>
  <c r="AO29" i="3" s="1"/>
  <c r="AN29" i="3" l="1"/>
  <c r="AU29" i="3"/>
  <c r="AY29" i="3" s="1"/>
  <c r="O30" i="3"/>
  <c r="AE30" i="3" s="1"/>
  <c r="AW29" i="3" l="1"/>
  <c r="AX29" i="3" s="1"/>
  <c r="X13" i="11"/>
  <c r="Y26" i="11"/>
  <c r="AH30" i="3"/>
  <c r="Y25" i="11"/>
  <c r="Q30" i="3"/>
  <c r="L31" i="3" s="1"/>
  <c r="V31" i="3" s="1"/>
  <c r="AT31" i="3" s="1"/>
  <c r="G31" i="3"/>
  <c r="X12" i="11"/>
  <c r="X18" i="11" s="1"/>
  <c r="AZ29" i="3"/>
  <c r="S30" i="3" l="1"/>
  <c r="T30" i="3" s="1"/>
  <c r="Z9" i="11"/>
  <c r="Z10" i="11" s="1"/>
  <c r="R30" i="3"/>
  <c r="AJ30" i="3"/>
  <c r="AK30" i="3" s="1"/>
  <c r="I31" i="3"/>
  <c r="U30" i="3" l="1"/>
  <c r="Y22" i="11"/>
  <c r="Y23" i="11" s="1"/>
  <c r="Y16" i="11"/>
  <c r="AM30" i="3"/>
  <c r="AO30" i="3" s="1"/>
  <c r="Z21" i="11"/>
  <c r="Y24" i="11" s="1"/>
  <c r="Z11" i="11"/>
  <c r="K31" i="3"/>
  <c r="D32" i="3"/>
  <c r="Y17" i="11"/>
  <c r="J31" i="3"/>
  <c r="AA8" i="11" l="1"/>
  <c r="AN30" i="3"/>
  <c r="AU30" i="3"/>
  <c r="AY30" i="3" s="1"/>
  <c r="Y13" i="11"/>
  <c r="AW30" i="3" l="1"/>
  <c r="AZ30" i="3"/>
  <c r="O31" i="3"/>
  <c r="AE31" i="3" s="1"/>
  <c r="Y12" i="11"/>
  <c r="Y18" i="11" s="1"/>
  <c r="AX30" i="3"/>
  <c r="Z25" i="11" l="1"/>
  <c r="AH31" i="3"/>
  <c r="G32" i="3"/>
  <c r="Q31" i="3" l="1"/>
  <c r="L32" i="3" s="1"/>
  <c r="V32" i="3" s="1"/>
  <c r="AT32" i="3" s="1"/>
  <c r="AT57" i="3" s="1"/>
  <c r="T48" i="12" s="1"/>
  <c r="Z26" i="11"/>
  <c r="I32" i="3"/>
  <c r="S31" i="3" l="1"/>
  <c r="AA9" i="11"/>
  <c r="AA10" i="11" s="1"/>
  <c r="AA21" i="11" s="1"/>
  <c r="Z24" i="11" s="1"/>
  <c r="R31" i="3"/>
  <c r="AJ31" i="3"/>
  <c r="Z16" i="11" s="1"/>
  <c r="AA11" i="11"/>
  <c r="K32" i="3"/>
  <c r="D33" i="3"/>
  <c r="J32" i="3"/>
  <c r="U31" i="3" l="1"/>
  <c r="T31" i="3"/>
  <c r="Z22" i="11"/>
  <c r="Z23" i="11" s="1"/>
  <c r="AB8" i="11"/>
  <c r="AM31" i="3"/>
  <c r="AO31" i="3" s="1"/>
  <c r="AK31" i="3"/>
  <c r="Z17" i="11" s="1"/>
  <c r="AN31" i="3" l="1"/>
  <c r="Z13" i="11"/>
  <c r="O32" i="3"/>
  <c r="AE32" i="3" s="1"/>
  <c r="K33" i="3"/>
  <c r="AU31" i="3" l="1"/>
  <c r="AY31" i="3" s="1"/>
  <c r="AH32" i="3"/>
  <c r="AA25" i="11"/>
  <c r="G33" i="3"/>
  <c r="AW31" i="3" l="1"/>
  <c r="AX31" i="3" s="1"/>
  <c r="AZ31" i="3"/>
  <c r="Z12" i="11"/>
  <c r="Z18" i="11" s="1"/>
  <c r="Q32" i="3"/>
  <c r="L33" i="3" s="1"/>
  <c r="V33" i="3" s="1"/>
  <c r="AT33" i="3" s="1"/>
  <c r="AA26" i="11"/>
  <c r="I33" i="3"/>
  <c r="D34" i="3" s="1"/>
  <c r="AC8" i="11" l="1"/>
  <c r="S32" i="3"/>
  <c r="AB9" i="11"/>
  <c r="AB10" i="11" s="1"/>
  <c r="AB21" i="11" s="1"/>
  <c r="AA24" i="11" s="1"/>
  <c r="R32" i="3"/>
  <c r="AJ32" i="3"/>
  <c r="AK32" i="3" s="1"/>
  <c r="AA22" i="11"/>
  <c r="AA23" i="11" s="1"/>
  <c r="J33" i="3"/>
  <c r="U32" i="3" l="1"/>
  <c r="T32" i="3"/>
  <c r="AN32" i="3"/>
  <c r="AA16" i="11"/>
  <c r="AM32" i="3"/>
  <c r="AB11" i="11"/>
  <c r="AA17" i="11"/>
  <c r="AK60" i="3"/>
  <c r="Q123" i="12" s="1"/>
  <c r="AO32" i="3" l="1"/>
  <c r="AO60" i="3" s="1"/>
  <c r="AM60" i="3"/>
  <c r="AN60" i="3"/>
  <c r="AU32" i="3"/>
  <c r="AY32" i="3" s="1"/>
  <c r="AA13" i="11"/>
  <c r="O33" i="3"/>
  <c r="AE33" i="3" s="1"/>
  <c r="K34" i="3"/>
  <c r="AW32" i="3" l="1"/>
  <c r="AH33" i="3"/>
  <c r="AB25" i="11"/>
  <c r="G34" i="3"/>
  <c r="AX32" i="3"/>
  <c r="AZ32" i="3"/>
  <c r="AZ57" i="3" s="1"/>
  <c r="AU57" i="3"/>
  <c r="AA12" i="11"/>
  <c r="AA18" i="11" s="1"/>
  <c r="R123" i="12"/>
  <c r="R48" i="12"/>
  <c r="Q33" i="3" l="1"/>
  <c r="L34" i="3" s="1"/>
  <c r="V34" i="3" s="1"/>
  <c r="AT34" i="3" s="1"/>
  <c r="AB26" i="11"/>
  <c r="S123" i="12"/>
  <c r="S48" i="12"/>
  <c r="AX57" i="3"/>
  <c r="AW57" i="3"/>
  <c r="I34" i="3"/>
  <c r="D35" i="3" s="1"/>
  <c r="AD8" i="11" l="1"/>
  <c r="S33" i="3"/>
  <c r="R33" i="3"/>
  <c r="AJ33" i="3"/>
  <c r="J34" i="3"/>
  <c r="U33" i="3" l="1"/>
  <c r="T33" i="3"/>
  <c r="AC9" i="11"/>
  <c r="AC10" i="11" s="1"/>
  <c r="AM33" i="3"/>
  <c r="AO33" i="3" s="1"/>
  <c r="AB16" i="11"/>
  <c r="AK33" i="3"/>
  <c r="AN33" i="3" s="1"/>
  <c r="AB22" i="11"/>
  <c r="AB23" i="11" s="1"/>
  <c r="AC11" i="11" l="1"/>
  <c r="AC21" i="11"/>
  <c r="AB24" i="11" s="1"/>
  <c r="AB17" i="11"/>
  <c r="O34" i="3"/>
  <c r="AE34" i="3" s="1"/>
  <c r="K35" i="3"/>
  <c r="AH34" i="3" l="1"/>
  <c r="AC25" i="11"/>
  <c r="AB13" i="11"/>
  <c r="AU33" i="3"/>
  <c r="AY33" i="3" s="1"/>
  <c r="G35" i="3"/>
  <c r="AW33" i="3" l="1"/>
  <c r="Q34" i="3"/>
  <c r="L35" i="3" s="1"/>
  <c r="V35" i="3" s="1"/>
  <c r="AT35" i="3" s="1"/>
  <c r="AC26" i="11"/>
  <c r="AZ33" i="3"/>
  <c r="AB12" i="11"/>
  <c r="AB18" i="11" s="1"/>
  <c r="AX33" i="3"/>
  <c r="I35" i="3"/>
  <c r="D36" i="3" s="1"/>
  <c r="AE8" i="11" l="1"/>
  <c r="S34" i="3"/>
  <c r="R34" i="3"/>
  <c r="AJ34" i="3"/>
  <c r="J35" i="3"/>
  <c r="U34" i="3" l="1"/>
  <c r="T34" i="3"/>
  <c r="AD9" i="11"/>
  <c r="AD10" i="11" s="1"/>
  <c r="AC16" i="11"/>
  <c r="AK34" i="3"/>
  <c r="AN34" i="3" s="1"/>
  <c r="AM34" i="3"/>
  <c r="AO34" i="3" s="1"/>
  <c r="AC22" i="11"/>
  <c r="AC23" i="11" s="1"/>
  <c r="O35" i="3"/>
  <c r="K36" i="3"/>
  <c r="AD25" i="11" l="1"/>
  <c r="AE35" i="3"/>
  <c r="AH35" i="3" s="1"/>
  <c r="AD21" i="11"/>
  <c r="AC24" i="11" s="1"/>
  <c r="AD11" i="11"/>
  <c r="AC17" i="11"/>
  <c r="G36" i="3"/>
  <c r="Q35" i="3" l="1"/>
  <c r="L36" i="3" s="1"/>
  <c r="V36" i="3" s="1"/>
  <c r="AT36" i="3" s="1"/>
  <c r="AD26" i="11"/>
  <c r="AU34" i="3"/>
  <c r="AY34" i="3" s="1"/>
  <c r="AC13" i="11"/>
  <c r="I36" i="3"/>
  <c r="D37" i="3" s="1"/>
  <c r="AF8" i="11" l="1"/>
  <c r="AW34" i="3"/>
  <c r="AX34" i="3" s="1"/>
  <c r="S35" i="3"/>
  <c r="T35" i="3" s="1"/>
  <c r="AE9" i="11"/>
  <c r="AE10" i="11" s="1"/>
  <c r="AE21" i="11" s="1"/>
  <c r="AD24" i="11" s="1"/>
  <c r="R35" i="3"/>
  <c r="AJ35" i="3"/>
  <c r="AD16" i="11" s="1"/>
  <c r="AC12" i="11"/>
  <c r="AC18" i="11" s="1"/>
  <c r="AZ34" i="3"/>
  <c r="J36" i="3"/>
  <c r="AD22" i="11" l="1"/>
  <c r="AD23" i="11" s="1"/>
  <c r="U35" i="3"/>
  <c r="AE11" i="11"/>
  <c r="AM35" i="3"/>
  <c r="AO35" i="3" s="1"/>
  <c r="AK35" i="3"/>
  <c r="AD17" i="11" s="1"/>
  <c r="AN35" i="3" l="1"/>
  <c r="AD13" i="11" s="1"/>
  <c r="O36" i="3"/>
  <c r="AE36" i="3" s="1"/>
  <c r="K37" i="3"/>
  <c r="AU35" i="3" l="1"/>
  <c r="AY35" i="3" s="1"/>
  <c r="AH36" i="3"/>
  <c r="AE25" i="11"/>
  <c r="G37" i="3"/>
  <c r="AD12" i="11" l="1"/>
  <c r="AD18" i="11" s="1"/>
  <c r="AZ35" i="3"/>
  <c r="AW35" i="3"/>
  <c r="AX35" i="3" s="1"/>
  <c r="Q36" i="3"/>
  <c r="L37" i="3" s="1"/>
  <c r="V37" i="3" s="1"/>
  <c r="AT37" i="3" s="1"/>
  <c r="AT58" i="3" s="1"/>
  <c r="T49" i="12" s="1"/>
  <c r="AE26" i="11"/>
  <c r="I37" i="3"/>
  <c r="D38" i="3" s="1"/>
  <c r="AF9" i="11" l="1"/>
  <c r="AF10" i="11" s="1"/>
  <c r="S36" i="3"/>
  <c r="R36" i="3"/>
  <c r="AJ36" i="3"/>
  <c r="J37" i="3"/>
  <c r="U36" i="3" l="1"/>
  <c r="T36" i="3"/>
  <c r="AF11" i="11"/>
  <c r="AF21" i="11"/>
  <c r="AE24" i="11" s="1"/>
  <c r="AE16" i="11"/>
  <c r="AM36" i="3"/>
  <c r="AO36" i="3" s="1"/>
  <c r="AK36" i="3"/>
  <c r="AN36" i="3" s="1"/>
  <c r="AU36" i="3" s="1"/>
  <c r="AY36" i="3" s="1"/>
  <c r="AE22" i="11"/>
  <c r="AE23" i="11" s="1"/>
  <c r="AE17" i="11" l="1"/>
  <c r="O37" i="3"/>
  <c r="K38" i="3"/>
  <c r="AF25" i="11" l="1"/>
  <c r="AE37" i="3"/>
  <c r="AE13" i="11"/>
  <c r="G38" i="3"/>
  <c r="AH37" i="3"/>
  <c r="AW36" i="3" l="1"/>
  <c r="AX36" i="3" s="1"/>
  <c r="AZ36" i="3"/>
  <c r="Q37" i="3"/>
  <c r="L38" i="3" s="1"/>
  <c r="V38" i="3" s="1"/>
  <c r="AT38" i="3" s="1"/>
  <c r="AF26" i="11"/>
  <c r="AE12" i="11"/>
  <c r="AE18" i="11" s="1"/>
  <c r="I38" i="3"/>
  <c r="S37" i="3" l="1"/>
  <c r="AJ37" i="3"/>
  <c r="AK37" i="3" s="1"/>
  <c r="R37" i="3"/>
  <c r="AF22" i="11"/>
  <c r="AF23" i="11" s="1"/>
  <c r="J38" i="3"/>
  <c r="AF16" i="11"/>
  <c r="AM37" i="3"/>
  <c r="U37" i="3" l="1"/>
  <c r="AO37" i="3" s="1"/>
  <c r="AO61" i="3" s="1"/>
  <c r="T37" i="3"/>
  <c r="AN37" i="3"/>
  <c r="O38" i="3"/>
  <c r="AE38" i="3" s="1"/>
  <c r="AM61" i="3"/>
  <c r="AF17" i="11"/>
  <c r="AK61" i="3"/>
  <c r="Q124" i="12" s="1"/>
  <c r="AN61" i="3" l="1"/>
  <c r="AU37" i="3"/>
  <c r="AY37" i="3" s="1"/>
  <c r="AF13" i="11"/>
  <c r="Q38" i="3"/>
  <c r="S38" i="3" s="1"/>
  <c r="AH38" i="3"/>
  <c r="U38" i="3" l="1"/>
  <c r="T38" i="3"/>
  <c r="AW37" i="3"/>
  <c r="AZ37" i="3"/>
  <c r="AZ58" i="3" s="1"/>
  <c r="AJ38" i="3"/>
  <c r="R38" i="3"/>
  <c r="AU58" i="3"/>
  <c r="AF12" i="11"/>
  <c r="AF18" i="11" s="1"/>
  <c r="R124" i="12"/>
  <c r="R49" i="12"/>
  <c r="AX37" i="3" l="1"/>
  <c r="AX58" i="3" s="1"/>
  <c r="AW58" i="3"/>
  <c r="S49" i="12"/>
  <c r="S124" i="12"/>
  <c r="AK38" i="3"/>
  <c r="AM38" i="3"/>
  <c r="AO38" i="3" s="1"/>
  <c r="AN38" i="3" l="1"/>
  <c r="AU38" i="3" s="1"/>
  <c r="AY38" i="3" s="1"/>
  <c r="AW38" i="3" l="1"/>
  <c r="AX38" i="3" s="1"/>
  <c r="AZ3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3" authorId="0" shapeId="0" xr:uid="{00000000-0006-0000-0100-000001000000}">
      <text>
        <r>
          <rPr>
            <b/>
            <sz val="9"/>
            <color indexed="81"/>
            <rFont val="Segoe UI"/>
            <family val="2"/>
          </rPr>
          <t>Autor:</t>
        </r>
        <r>
          <rPr>
            <sz val="9"/>
            <color indexed="81"/>
            <rFont val="Segoe UI"/>
            <family val="2"/>
          </rPr>
          <t xml:space="preserve">
Mithilfe der Alterswertminderung wird ermittelt, wie weit die Immobilie seit ihrer Entstehung an Wert verloren hat. Hierfür wird das Alter mit dem Wert (z.B. 0,01  für 1,0 % p.a.) multipliziert. Das Ergebnis ist der Prozentsatz, um den sich die reinen Baukosten mindern.
Baukosten bisher – Alterswertminderung = Gebäudesachwert.
beim Verkauf kommt dann noch der Grundstückspreis dazu!</t>
        </r>
      </text>
    </comment>
    <comment ref="A33" authorId="0" shapeId="0" xr:uid="{00000000-0006-0000-0100-000002000000}">
      <text>
        <r>
          <rPr>
            <sz val="9"/>
            <color indexed="81"/>
            <rFont val="Segoe UI"/>
            <family val="2"/>
          </rPr>
          <t xml:space="preserve">In diese Rubrik gehören also alle Kosten, die über die ohnehin notwendige, laufende Instandhaltung hinaus gehen. Eine Faustformel für Gebraucht-Immobilien besagt, dass im Jahresdurchschnitt 0,8 bis ein Prozent der reinen Herstellungskosten für das Gebäude an Instandhaltungsbedarf entstehen. </t>
        </r>
      </text>
    </comment>
    <comment ref="B39" authorId="0" shapeId="0" xr:uid="{00000000-0006-0000-0100-000003000000}">
      <text>
        <r>
          <rPr>
            <b/>
            <sz val="9"/>
            <color indexed="81"/>
            <rFont val="Segoe UI"/>
            <family val="2"/>
          </rPr>
          <t>Autor:</t>
        </r>
        <r>
          <rPr>
            <sz val="9"/>
            <color indexed="81"/>
            <rFont val="Segoe UI"/>
            <family val="2"/>
          </rPr>
          <t xml:space="preserve">
hängt von der Art der Immobilie und Lage ab.
Risiko bei Gewerbe-Immob.  Ist meist höher (4% - 6% und mehr) als bei Wohnimmoblien!
</t>
        </r>
      </text>
    </comment>
    <comment ref="A55" authorId="0" shapeId="0" xr:uid="{8CD9D017-3CBB-4B5A-9668-C516C2341050}">
      <text>
        <r>
          <rPr>
            <sz val="9"/>
            <color indexed="81"/>
            <rFont val="Segoe UI"/>
            <family val="2"/>
          </rPr>
          <t>siehe Blatt 
 "Hinweise"
ab Zeile 92</t>
        </r>
      </text>
    </comment>
    <comment ref="I57" authorId="0" shapeId="0" xr:uid="{28659BF6-65EC-410B-9880-5E04815E72DD}">
      <text>
        <r>
          <rPr>
            <b/>
            <sz val="9"/>
            <color indexed="81"/>
            <rFont val="Segoe UI"/>
            <family val="2"/>
          </rPr>
          <t>Förderzeit</t>
        </r>
        <r>
          <rPr>
            <sz val="9"/>
            <color indexed="81"/>
            <rFont val="Segoe UI"/>
            <family val="2"/>
          </rPr>
          <t xml:space="preserve">
</t>
        </r>
      </text>
    </comment>
    <comment ref="B59" authorId="0" shapeId="0" xr:uid="{EF52C704-74BC-44C1-A6DD-4122F69835B8}">
      <text>
        <r>
          <rPr>
            <b/>
            <sz val="9"/>
            <color indexed="81"/>
            <rFont val="Segoe UI"/>
            <family val="2"/>
          </rPr>
          <t>Im Falle eines Förderkredits ist der Hausbank-Kredit geringer als der Kreditbedarf!</t>
        </r>
      </text>
    </comment>
    <comment ref="I59" authorId="0" shapeId="0" xr:uid="{6F7DF0F9-E82B-42B5-80B2-8FE89479CD1A}">
      <text>
        <r>
          <rPr>
            <b/>
            <sz val="9"/>
            <color indexed="81"/>
            <rFont val="Segoe UI"/>
            <family val="2"/>
          </rPr>
          <t>Förderkredit</t>
        </r>
      </text>
    </comment>
    <comment ref="I60" authorId="0" shapeId="0" xr:uid="{43D3FE68-338D-463A-8EFE-48941AC7C387}">
      <text>
        <r>
          <rPr>
            <b/>
            <sz val="9"/>
            <color indexed="81"/>
            <rFont val="Segoe UI"/>
            <family val="2"/>
          </rPr>
          <t>Autor:</t>
        </r>
        <r>
          <rPr>
            <sz val="9"/>
            <color indexed="81"/>
            <rFont val="Segoe UI"/>
            <family val="2"/>
          </rPr>
          <t xml:space="preserve">
Disagio ist bei Förderkrediten nicht üblich!</t>
        </r>
      </text>
    </comment>
    <comment ref="B61" authorId="0" shapeId="0" xr:uid="{8CBDA91F-00CB-43C0-AFEF-03CFE987AD4F}">
      <text>
        <r>
          <rPr>
            <b/>
            <sz val="9"/>
            <color indexed="81"/>
            <rFont val="Segoe UI"/>
            <family val="2"/>
          </rPr>
          <t>Autor:</t>
        </r>
        <r>
          <rPr>
            <sz val="9"/>
            <color indexed="81"/>
            <rFont val="Segoe UI"/>
            <family val="2"/>
          </rPr>
          <t xml:space="preserve">
 Disagio ist in Niedrigzinsphasen außer Mode gekommen!</t>
        </r>
      </text>
    </comment>
    <comment ref="I61" authorId="0" shapeId="0" xr:uid="{0B354CA1-0ED0-40D2-BAD5-E81343D629C4}">
      <text>
        <r>
          <rPr>
            <b/>
            <sz val="9"/>
            <color indexed="81"/>
            <rFont val="Segoe UI"/>
            <family val="2"/>
          </rPr>
          <t xml:space="preserve">Tilgunszuschus p.a.
</t>
        </r>
      </text>
    </comment>
    <comment ref="B62" authorId="0" shapeId="0" xr:uid="{080D3D70-0528-43B8-A0D8-FFB33081B2C3}">
      <text>
        <r>
          <rPr>
            <b/>
            <sz val="9"/>
            <color indexed="81"/>
            <rFont val="Segoe UI"/>
            <family val="2"/>
          </rPr>
          <t>Autor:</t>
        </r>
        <r>
          <rPr>
            <sz val="9"/>
            <color indexed="81"/>
            <rFont val="Segoe UI"/>
            <family val="2"/>
          </rPr>
          <t xml:space="preserve">
Disagio ist als Aufwand im Jahr des Anfalls steuerlich ansetzbar!</t>
        </r>
      </text>
    </comment>
    <comment ref="I62" authorId="0" shapeId="0" xr:uid="{D6F968A0-9E3B-48B9-A0B4-63BF6E992DBD}">
      <text>
        <r>
          <rPr>
            <b/>
            <sz val="9"/>
            <color indexed="81"/>
            <rFont val="Segoe UI"/>
            <family val="2"/>
          </rPr>
          <t>Anzahl Tilgungszuschüsse</t>
        </r>
        <r>
          <rPr>
            <sz val="9"/>
            <color indexed="81"/>
            <rFont val="Segoe UI"/>
            <family val="2"/>
          </rPr>
          <t xml:space="preserve">
</t>
        </r>
      </text>
    </comment>
    <comment ref="I64" authorId="0" shapeId="0" xr:uid="{AFC0C0A8-69F5-41E9-88FE-16994F9123B2}">
      <text>
        <r>
          <rPr>
            <b/>
            <sz val="9"/>
            <color indexed="81"/>
            <rFont val="Segoe UI"/>
            <family val="2"/>
          </rPr>
          <t xml:space="preserve">Förderzins
</t>
        </r>
      </text>
    </comment>
    <comment ref="I66" authorId="0" shapeId="0" xr:uid="{65CBFFA7-6867-479C-9A10-626CC508E4BB}">
      <text>
        <r>
          <rPr>
            <b/>
            <sz val="9"/>
            <color indexed="81"/>
            <rFont val="Segoe UI"/>
            <family val="2"/>
          </rPr>
          <t>Annuität Förderkredit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15" authorId="0" shapeId="0" xr:uid="{AC9C5E70-5C62-4E85-832E-47F957B0B32A}">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text>
    </comment>
    <comment ref="F53" authorId="0" shapeId="0" xr:uid="{1EFC1BEF-C26B-4BB1-9635-B4F3B21F18E4}">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U2" authorId="0" shapeId="0" xr:uid="{00000000-0006-0000-0200-000001000000}">
      <text>
        <r>
          <rPr>
            <b/>
            <sz val="9"/>
            <color indexed="81"/>
            <rFont val="Tahoma"/>
            <family val="2"/>
          </rPr>
          <t xml:space="preserve">Überschuss aus Verkauf =
+ Verkaufspreis
+/- kumul. Mittel-zu/abfluss nach Steuern 
+ Tilgungen
- Investment (=Eigenkapital +Kreditbedarf)
</t>
        </r>
        <r>
          <rPr>
            <b/>
            <u/>
            <sz val="9"/>
            <color indexed="81"/>
            <rFont val="Tahoma"/>
            <family val="2"/>
          </rPr>
          <t>oder anders gerechnet</t>
        </r>
        <r>
          <rPr>
            <b/>
            <sz val="9"/>
            <color indexed="81"/>
            <rFont val="Tahoma"/>
            <family val="2"/>
          </rPr>
          <t xml:space="preserve">: 
+ Verkehrswert
+/- kumul. Cash Flow (Einnahmen-/Ausgaben-Überschuss)
- Eigenkapital
- Restl. Schulden
</t>
        </r>
        <r>
          <rPr>
            <sz val="9"/>
            <color indexed="81"/>
            <rFont val="Tahoma"/>
            <family val="2"/>
          </rPr>
          <t xml:space="preserve">
ein positiver Wert (+) steht für einen Überschuss
ein negativer (-) Wert steht für eine Unterdeckung! 
</t>
        </r>
      </text>
    </comment>
    <comment ref="AS3" authorId="0" shapeId="0" xr:uid="{00000000-0006-0000-0200-000002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T3" authorId="0" shapeId="0" xr:uid="{00000000-0006-0000-0200-000003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H4" authorId="0" shapeId="0" xr:uid="{7A96DFBB-48C6-4DED-BF2A-3A8346680130}">
      <text>
        <r>
          <rPr>
            <b/>
            <sz val="9"/>
            <color indexed="81"/>
            <rFont val="Segoe UI"/>
            <family val="2"/>
          </rPr>
          <t xml:space="preserve">Achtung:
- Sondertilgung mit (-) Negativerwert eintragen, 
</t>
        </r>
        <r>
          <rPr>
            <sz val="9"/>
            <color indexed="81"/>
            <rFont val="Segoe UI"/>
            <family val="2"/>
          </rPr>
          <t xml:space="preserve">da es sich um eine Ausgabe bzw. Mittelabfluss (-) handelt!
</t>
        </r>
      </text>
    </comment>
    <comment ref="AI4" authorId="0" shapeId="0" xr:uid="{00000000-0006-0000-0200-000004000000}">
      <text>
        <r>
          <rPr>
            <b/>
            <sz val="9"/>
            <color indexed="81"/>
            <rFont val="Tahoma"/>
            <family val="2"/>
          </rPr>
          <t>Mittelfluss vor Steuer =</t>
        </r>
        <r>
          <rPr>
            <sz val="9"/>
            <color indexed="81"/>
            <rFont val="Tahoma"/>
            <family val="2"/>
          </rPr>
          <t xml:space="preserve">
+ Miete 
- Annuität (Zins &amp; Tilgung) 
- Sondertilgung
- Unterhaltskosten
 </t>
        </r>
      </text>
    </comment>
    <comment ref="AJ4" authorId="0" shapeId="0" xr:uid="{00000000-0006-0000-0200-000005000000}">
      <text>
        <r>
          <rPr>
            <b/>
            <sz val="9"/>
            <color indexed="81"/>
            <rFont val="Tahoma"/>
            <family val="2"/>
          </rPr>
          <t>Mittelfluss nach Steuer =</t>
        </r>
        <r>
          <rPr>
            <sz val="9"/>
            <color indexed="81"/>
            <rFont val="Tahoma"/>
            <family val="2"/>
          </rPr>
          <t xml:space="preserve">
+ Miete 
- Annuität (Zins &amp; Tilgung) 
- Sondertilgung
- Unterhaltskosten
+ Steuerersparnis bzw.
 -  Steuerzahlung </t>
        </r>
      </text>
    </comment>
    <comment ref="AQ4" authorId="0" shapeId="0" xr:uid="{00000000-0006-0000-0200-000006000000}">
      <text>
        <r>
          <rPr>
            <b/>
            <sz val="9"/>
            <color indexed="81"/>
            <rFont val="Segoe UI"/>
            <family val="2"/>
          </rPr>
          <t>Marktwert:
enthält keine anteiligen Nebenerwerbskosten</t>
        </r>
        <r>
          <rPr>
            <sz val="9"/>
            <color indexed="81"/>
            <rFont val="Segoe UI"/>
            <family val="2"/>
          </rPr>
          <t xml:space="preserve">
</t>
        </r>
      </text>
    </comment>
    <comment ref="AR4" authorId="0" shapeId="0" xr:uid="{00000000-0006-0000-0200-000007000000}">
      <text>
        <r>
          <rPr>
            <b/>
            <sz val="9"/>
            <color indexed="81"/>
            <rFont val="Segoe UI"/>
            <family val="2"/>
          </rPr>
          <t>Marktwert:
enthält keine anteiligen Nebenerwerbskosten</t>
        </r>
        <r>
          <rPr>
            <sz val="9"/>
            <color indexed="81"/>
            <rFont val="Segoe UI"/>
            <family val="2"/>
          </rPr>
          <t xml:space="preserve">
</t>
        </r>
      </text>
    </comment>
    <comment ref="AW4" authorId="0" shapeId="0" xr:uid="{00000000-0006-0000-0200-000008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E5" authorId="0" shapeId="0" xr:uid="{00000000-0006-0000-0200-000009000000}">
      <text>
        <r>
          <rPr>
            <b/>
            <sz val="9"/>
            <color indexed="81"/>
            <rFont val="Tahoma"/>
            <family val="2"/>
          </rPr>
          <t xml:space="preserve">Zu versteuernder Gewinn= </t>
        </r>
        <r>
          <rPr>
            <sz val="9"/>
            <color indexed="81"/>
            <rFont val="Tahoma"/>
            <family val="2"/>
          </rPr>
          <t xml:space="preserve">
Einnahmen aus Vermietung und Verpachtung
- Gebäude AFA
- Unterhalts- u. Betriebskosten 
- Zinsen
- Disagio im 1. Jahr
</t>
        </r>
      </text>
    </comment>
    <comment ref="AR5" authorId="0" shapeId="0" xr:uid="{00000000-0006-0000-0200-00000A000000}">
      <text>
        <r>
          <rPr>
            <b/>
            <sz val="9"/>
            <color indexed="81"/>
            <rFont val="Segoe UI"/>
            <family val="2"/>
          </rPr>
          <t>Aufgepasst:</t>
        </r>
        <r>
          <rPr>
            <sz val="9"/>
            <color indexed="81"/>
            <rFont val="Segoe UI"/>
            <family val="2"/>
          </rPr>
          <t xml:space="preserve">
Marktwert ist nicht identisch mit der AfA-Basis für das Gebäude!</t>
        </r>
      </text>
    </comment>
    <comment ref="Y6" authorId="0" shapeId="0" xr:uid="{00000000-0006-0000-0200-00000B000000}">
      <text>
        <r>
          <rPr>
            <sz val="12"/>
            <rFont val="Arial"/>
            <family val="2"/>
          </rPr>
          <t xml:space="preserve">Unter Berücksichtigung der unterstellen jährlichen Mietpreissteigerungen und Leerstandsrisiko
</t>
        </r>
      </text>
    </comment>
    <comment ref="AM6" authorId="0" shapeId="0" xr:uid="{08300A2D-4789-4FFA-AE1B-1A7E9DCE61CF}">
      <text>
        <r>
          <rPr>
            <b/>
            <sz val="9"/>
            <color indexed="81"/>
            <rFont val="Segoe UI"/>
            <family val="2"/>
          </rPr>
          <t>Autor:</t>
        </r>
        <r>
          <rPr>
            <sz val="9"/>
            <color indexed="81"/>
            <rFont val="Segoe UI"/>
            <family val="2"/>
          </rPr>
          <t xml:space="preserve">
Verzinsung nach Steuer
</t>
        </r>
      </text>
    </comment>
    <comment ref="AO6" authorId="0" shapeId="0" xr:uid="{7646E008-8390-4BB3-B38E-7961133E8205}">
      <text>
        <r>
          <rPr>
            <b/>
            <sz val="9"/>
            <color indexed="81"/>
            <rFont val="Segoe UI"/>
            <family val="2"/>
          </rPr>
          <t>Autor:</t>
        </r>
        <r>
          <rPr>
            <sz val="9"/>
            <color indexed="81"/>
            <rFont val="Segoe UI"/>
            <family val="2"/>
          </rPr>
          <t xml:space="preserve">
Verzinsung nach Steuer
</t>
        </r>
      </text>
    </comment>
    <comment ref="H7" authorId="0" shapeId="0" xr:uid="{BCEA599A-3FFA-4E96-90EA-51179A556B5B}">
      <text>
        <r>
          <rPr>
            <b/>
            <sz val="9"/>
            <color indexed="81"/>
            <rFont val="Segoe UI"/>
            <family val="2"/>
          </rPr>
          <t xml:space="preserve">Achtung:
Sondertilgung mit (-) 
</t>
        </r>
        <r>
          <rPr>
            <sz val="9"/>
            <color indexed="81"/>
            <rFont val="Segoe UI"/>
            <family val="2"/>
          </rPr>
          <t xml:space="preserve">Negativer Wert </t>
        </r>
        <r>
          <rPr>
            <b/>
            <sz val="9"/>
            <color indexed="81"/>
            <rFont val="Segoe UI"/>
            <family val="2"/>
          </rPr>
          <t xml:space="preserve">eintragen, </t>
        </r>
        <r>
          <rPr>
            <sz val="9"/>
            <color indexed="81"/>
            <rFont val="Segoe UI"/>
            <family val="2"/>
          </rPr>
          <t xml:space="preserve">
</t>
        </r>
        <r>
          <rPr>
            <b/>
            <sz val="9"/>
            <color indexed="81"/>
            <rFont val="Segoe UI"/>
            <family val="2"/>
          </rPr>
          <t>da</t>
        </r>
        <r>
          <rPr>
            <sz val="9"/>
            <color indexed="81"/>
            <rFont val="Segoe UI"/>
            <family val="2"/>
          </rPr>
          <t xml:space="preserve"> es sich um eine Ausgabe bzw. </t>
        </r>
        <r>
          <rPr>
            <b/>
            <sz val="9"/>
            <color indexed="81"/>
            <rFont val="Segoe UI"/>
            <family val="2"/>
          </rPr>
          <t xml:space="preserve">Mittelabfluss (-) </t>
        </r>
        <r>
          <rPr>
            <sz val="9"/>
            <color indexed="81"/>
            <rFont val="Segoe UI"/>
            <family val="2"/>
          </rPr>
          <t>handelt!</t>
        </r>
      </text>
    </comment>
    <comment ref="AB7" authorId="0" shapeId="0" xr:uid="{2674AB38-647E-46E0-B124-0994861C467B}">
      <text>
        <r>
          <rPr>
            <b/>
            <sz val="9"/>
            <color indexed="81"/>
            <rFont val="Segoe UI"/>
            <family val="2"/>
          </rPr>
          <t xml:space="preserve">Sonder-AfA in Euro:
</t>
        </r>
        <r>
          <rPr>
            <sz val="9"/>
            <color indexed="81"/>
            <rFont val="Segoe UI"/>
            <family val="2"/>
          </rPr>
          <t xml:space="preserve">Bitte manuell  als </t>
        </r>
        <r>
          <rPr>
            <b/>
            <sz val="9"/>
            <color indexed="81"/>
            <rFont val="Segoe UI"/>
            <family val="2"/>
          </rPr>
          <t xml:space="preserve">negativer Wert (-) eintragen,  da </t>
        </r>
        <r>
          <rPr>
            <sz val="9"/>
            <color indexed="81"/>
            <rFont val="Segoe UI"/>
            <family val="2"/>
          </rPr>
          <t xml:space="preserve">es sich um einen 
</t>
        </r>
        <r>
          <rPr>
            <b/>
            <sz val="9"/>
            <color indexed="81"/>
            <rFont val="Segoe UI"/>
            <family val="2"/>
          </rPr>
          <t>kalkulatorischen  Aufwand</t>
        </r>
        <r>
          <rPr>
            <sz val="9"/>
            <color indexed="81"/>
            <rFont val="Segoe UI"/>
            <family val="2"/>
          </rPr>
          <t xml:space="preserve"> </t>
        </r>
        <r>
          <rPr>
            <b/>
            <sz val="9"/>
            <color indexed="81"/>
            <rFont val="Segoe UI"/>
            <family val="2"/>
          </rPr>
          <t>(-)</t>
        </r>
        <r>
          <rPr>
            <sz val="9"/>
            <color indexed="81"/>
            <rFont val="Segoe UI"/>
            <family val="2"/>
          </rPr>
          <t xml:space="preserve"> handelt!</t>
        </r>
      </text>
    </comment>
    <comment ref="AD7" authorId="0" shapeId="0" xr:uid="{EE45E686-66B6-4B07-94A2-D4074E82FD17}">
      <text>
        <r>
          <rPr>
            <b/>
            <sz val="9"/>
            <color indexed="81"/>
            <rFont val="Segoe UI"/>
            <family val="2"/>
          </rPr>
          <t>AfA Basis entspricht:</t>
        </r>
        <r>
          <rPr>
            <sz val="9"/>
            <color indexed="81"/>
            <rFont val="Segoe UI"/>
            <family val="2"/>
          </rPr>
          <t xml:space="preserve">
 Gebäudewert bei Kauf
 + Fittiing up 
 + anteilige Erwerbsnebenkosten (ENK)
</t>
        </r>
      </text>
    </comment>
    <comment ref="AI7" authorId="0" shapeId="0" xr:uid="{00000000-0006-0000-0200-00000D000000}">
      <text>
        <r>
          <rPr>
            <b/>
            <sz val="9"/>
            <color indexed="81"/>
            <rFont val="Tahoma"/>
            <family val="2"/>
          </rPr>
          <t>Zufluss:
ausgezahlter Kreditbetrag</t>
        </r>
      </text>
    </comment>
    <comment ref="AJ7" authorId="0" shapeId="0" xr:uid="{00000000-0006-0000-0200-00000E000000}">
      <text>
        <r>
          <rPr>
            <b/>
            <sz val="9"/>
            <color indexed="81"/>
            <rFont val="Tahoma"/>
            <family val="2"/>
          </rPr>
          <t xml:space="preserve">Abfluss = 
</t>
        </r>
        <r>
          <rPr>
            <sz val="9"/>
            <color indexed="81"/>
            <rFont val="Tahoma"/>
            <family val="2"/>
          </rPr>
          <t xml:space="preserve">Investment 
plus
eingesetzes Eigenkapital
</t>
        </r>
      </text>
    </comment>
    <comment ref="AR7" authorId="0" shapeId="0" xr:uid="{00000000-0006-0000-0200-00000F000000}">
      <text>
        <r>
          <rPr>
            <b/>
            <sz val="9"/>
            <color indexed="81"/>
            <rFont val="Tahoma"/>
            <family val="2"/>
          </rPr>
          <t xml:space="preserve">Annahmen:
</t>
        </r>
        <r>
          <rPr>
            <sz val="9"/>
            <color indexed="81"/>
            <rFont val="Tahoma"/>
            <family val="2"/>
          </rPr>
          <t>Der Gebäudewert erhöht sich: 
um die Kosten des anfängl. Fitting Up,
nicht aber um die anteiligen Nebenerwerbskosten (NEK)
und ersten Instandhaltungen.</t>
        </r>
      </text>
    </comment>
    <comment ref="AS7" authorId="0" shapeId="0" xr:uid="{00000000-0006-0000-0200-000010000000}">
      <text>
        <r>
          <rPr>
            <b/>
            <sz val="9"/>
            <color indexed="81"/>
            <rFont val="Tahoma"/>
            <family val="2"/>
          </rPr>
          <t>Annahme:
Das Objekt steigt im 1. Jahr im Wert um die  anfänglichen Fitting up Kosten.</t>
        </r>
        <r>
          <rPr>
            <sz val="9"/>
            <color indexed="81"/>
            <rFont val="Tahoma"/>
            <family val="2"/>
          </rPr>
          <t xml:space="preserve">
</t>
        </r>
      </text>
    </comment>
    <comment ref="AU7" authorId="0" shapeId="0" xr:uid="{00000000-0006-0000-0200-000011000000}">
      <text>
        <r>
          <rPr>
            <b/>
            <sz val="9"/>
            <color indexed="81"/>
            <rFont val="Tahoma"/>
            <family val="2"/>
          </rPr>
          <t>Bei einem sofortigen Wiederverkauf sind ein Plus für Kosten für Grunderwerb, Makler und Notar selten zu erzielen. Die kriegt frau/man meist nicht wieder!
Auch erste Instandhaltungskosten erhöhen i.d.R. nicht den Verkaufspreis.</t>
        </r>
      </text>
    </comment>
    <comment ref="X8" authorId="0" shapeId="0" xr:uid="{052B3EE2-9414-40F1-92BC-B24A687A1937}">
      <text>
        <r>
          <rPr>
            <b/>
            <sz val="9"/>
            <color indexed="81"/>
            <rFont val="Segoe UI"/>
            <family val="2"/>
          </rPr>
          <t>Autor:</t>
        </r>
        <r>
          <rPr>
            <sz val="9"/>
            <color indexed="81"/>
            <rFont val="Segoe UI"/>
            <family val="2"/>
          </rPr>
          <t xml:space="preserve">
Unterhaltskosten plus Instandhaltungskosten im 1. Jahr (meist vor der Vermietung)</t>
        </r>
      </text>
    </comment>
    <comment ref="AM8" authorId="0" shapeId="0" xr:uid="{ABF7F17D-045F-4B72-B6CE-DD7615579340}">
      <text>
        <r>
          <rPr>
            <sz val="9"/>
            <color indexed="81"/>
            <rFont val="Segoe UI"/>
            <family val="2"/>
          </rPr>
          <t>Der Cash fällt monatlich an. Übers Jahr beträgt er im Durchschnitt:  CF zum Jahresende / 2 d.h.  die Hälfte des CF am Jahresende. Also berechene ich den Zinsgewinn auf Basis der Hälfte des CF des Jahres plus dem Kumul. CF aus den Vorjahren mit Zins für ein Jahr.</t>
        </r>
      </text>
    </comment>
    <comment ref="AD13" authorId="0" shapeId="0" xr:uid="{CB841F86-DAF9-4163-8F5D-463F517D9C79}">
      <text>
        <r>
          <rPr>
            <b/>
            <sz val="9"/>
            <color indexed="81"/>
            <rFont val="Segoe UI"/>
            <family val="2"/>
          </rPr>
          <t>RBWnach6Jahren:</t>
        </r>
        <r>
          <rPr>
            <sz val="9"/>
            <color indexed="81"/>
            <rFont val="Segoe UI"/>
            <family val="2"/>
          </rPr>
          <t xml:space="preserve">
Bei Degressiv-Linearer AfA beginnt im 7. Jahr die Lineare AfA. Dann wird der/dieser Restbuchwert (RBW) des Gebäudes am Endes des 6  Jahress (= Wert zu Beginn des 7. Jahres) in den Folgejahren linear abgeschrieben!</t>
        </r>
      </text>
    </comment>
    <comment ref="Z14" authorId="0" shapeId="0" xr:uid="{9133A2C4-D8B8-41B3-B5FC-93B50CD80610}">
      <text>
        <r>
          <rPr>
            <b/>
            <sz val="9"/>
            <color indexed="81"/>
            <rFont val="Segoe UI"/>
            <family val="2"/>
          </rPr>
          <t>Beachte:</t>
        </r>
        <r>
          <rPr>
            <sz val="9"/>
            <color indexed="81"/>
            <rFont val="Segoe UI"/>
            <family val="2"/>
          </rPr>
          <t xml:space="preserve">
Bei Degressiv-Linearer AfA beginnt im 7. Jahr die Lineare AfA. Dann wird der Buchwert des Gebäudes am Endes des 6  Jahress (= Wert zu Beginn des 7. Jahres) in den Folgejahren linear abgeschrieben!
</t>
        </r>
      </text>
    </comment>
    <comment ref="AA14" authorId="0" shapeId="0" xr:uid="{29CEB526-0F93-463F-A5C9-CAC5D36EAA1A}">
      <text>
        <r>
          <rPr>
            <b/>
            <sz val="9"/>
            <color indexed="81"/>
            <rFont val="Segoe UI"/>
            <family val="2"/>
          </rPr>
          <t>Beachte:</t>
        </r>
        <r>
          <rPr>
            <sz val="9"/>
            <color indexed="81"/>
            <rFont val="Segoe UI"/>
            <family val="2"/>
          </rPr>
          <t xml:space="preserve">
Bei Degressiv-Linearer AfA beginnt im 7. Jahr die Lineare AfA. Dann wird der Buchwert des Gebäudes am Endes des 6  Jahress (= Wert zu Beginn des 7. Jahres) in den Folgejahren linear abgeschrieben!</t>
        </r>
      </text>
    </comment>
    <comment ref="AC14" authorId="0" shapeId="0" xr:uid="{F8CC2905-55A2-4C48-9048-2706EA7C5CD4}">
      <text>
        <r>
          <rPr>
            <b/>
            <sz val="9"/>
            <color indexed="81"/>
            <rFont val="Segoe UI"/>
            <family val="2"/>
          </rPr>
          <t xml:space="preserve">Beachte:
</t>
        </r>
        <r>
          <rPr>
            <sz val="9"/>
            <color indexed="81"/>
            <rFont val="Segoe UI"/>
            <family val="2"/>
          </rPr>
          <t xml:space="preserve">Bei Degressiv-Linearer AfA beginnt im 7. Jahr die Lineare AfA. Dann wird der Restbuchwert (RBW) des Gebäudes am Endes des 6  Jahress (= Wert zu Beginn des 7. Jahres) in den Folgejahren linear abgeschrieben!
</t>
        </r>
      </text>
    </comment>
    <comment ref="AT41" authorId="0" shapeId="0" xr:uid="{00000000-0006-0000-0200-000012000000}">
      <text>
        <r>
          <rPr>
            <b/>
            <sz val="9"/>
            <color indexed="81"/>
            <rFont val="Segoe UI"/>
            <family val="2"/>
          </rPr>
          <t>Indikator für Kreditrisiko einer Bank</t>
        </r>
        <r>
          <rPr>
            <sz val="9"/>
            <color indexed="81"/>
            <rFont val="Segoe UI"/>
            <family val="2"/>
          </rPr>
          <t xml:space="preserve">
neben EK-Quote,
Sicherheiten
und Bonitäts-Score des Kreditnehmers</t>
        </r>
      </text>
    </comment>
    <comment ref="AU48" authorId="0" shapeId="0" xr:uid="{00000000-0006-0000-0200-00001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AS49" authorId="0" shapeId="0" xr:uid="{00000000-0006-0000-0200-00001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T49" authorId="0" shapeId="0" xr:uid="{00000000-0006-0000-0200-000015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W50" authorId="0" shapeId="0" xr:uid="{00000000-0006-0000-0200-000016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M54" authorId="0" shapeId="0" xr:uid="{DAB89991-F074-4D3D-8819-BA490147FB20}">
      <text>
        <r>
          <rPr>
            <b/>
            <sz val="9"/>
            <color indexed="81"/>
            <rFont val="Segoe UI"/>
            <family val="2"/>
          </rPr>
          <t>Autor:</t>
        </r>
        <r>
          <rPr>
            <sz val="9"/>
            <color indexed="81"/>
            <rFont val="Segoe UI"/>
            <family val="2"/>
          </rPr>
          <t xml:space="preserve">
Verzinsung nach Steuer
</t>
        </r>
      </text>
    </comment>
    <comment ref="AO54" authorId="0" shapeId="0" xr:uid="{458236FB-A9DA-4F1E-BA17-6B94D4FD61E5}">
      <text>
        <r>
          <rPr>
            <b/>
            <sz val="9"/>
            <color indexed="81"/>
            <rFont val="Segoe UI"/>
            <family val="2"/>
          </rPr>
          <t>Autor:</t>
        </r>
        <r>
          <rPr>
            <sz val="9"/>
            <color indexed="81"/>
            <rFont val="Segoe UI"/>
            <family val="2"/>
          </rPr>
          <t xml:space="preserve">
Verzinsung nach Steuer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S39" authorId="0" shapeId="0" xr:uid="{00000000-0006-0000-0400-000001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L42" authorId="0" shapeId="0" xr:uid="{00000000-0006-0000-0400-000002000000}">
      <text>
        <r>
          <rPr>
            <b/>
            <sz val="9"/>
            <color indexed="81"/>
            <rFont val="Segoe UI"/>
            <family val="2"/>
          </rPr>
          <t xml:space="preserve">Nur Zinsen:
</t>
        </r>
        <r>
          <rPr>
            <sz val="9"/>
            <color indexed="81"/>
            <rFont val="Segoe UI"/>
            <family val="2"/>
          </rPr>
          <t>Die monatliche Darlehnsleistung (Zins + Tilgung) ist ein einen Mittelabfluss (Zahlung an die Bank).
ABER: Die darin enthaltene Tilgung stellt mein Vermögenszuswachs dar (= weniger Schulden).
 Zinsen = Annuität - Tilgung</t>
        </r>
      </text>
    </comment>
    <comment ref="S115" authorId="0" shapeId="0" xr:uid="{00000000-0006-0000-0400-00000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T115" authorId="0" shapeId="0" xr:uid="{00000000-0006-0000-0400-00000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List>
</comments>
</file>

<file path=xl/sharedStrings.xml><?xml version="1.0" encoding="utf-8"?>
<sst xmlns="http://schemas.openxmlformats.org/spreadsheetml/2006/main" count="1199" uniqueCount="791">
  <si>
    <t>Dateneingabe:</t>
  </si>
  <si>
    <t>in den Gelben Parameter-Feldern</t>
  </si>
  <si>
    <t xml:space="preserve">Die Dateneingabe der Paramater erfolgt durch </t>
  </si>
  <si>
    <t>Übertippen der  Eingaben in den gelben Feldern</t>
  </si>
  <si>
    <t>in dem Arbeitsblatt "Parameter"</t>
  </si>
  <si>
    <t>Warnung:</t>
  </si>
  <si>
    <t>Niemand kann die Zukunft genau vorhersagen. Deshalb wird</t>
  </si>
  <si>
    <t xml:space="preserve">die berechnete Nach-Steuer-Belastung auch nie so exakt </t>
  </si>
  <si>
    <t>Merke:</t>
  </si>
  <si>
    <t>Eine Modellrechnung liefert keine Ergebnis-Garantie!</t>
  </si>
  <si>
    <t>info@odenwalder-consulting.com</t>
  </si>
  <si>
    <t>Kauf am:</t>
  </si>
  <si>
    <t xml:space="preserve">  = Jahr</t>
  </si>
  <si>
    <t>Kaufpreis (Grundstück &amp; Gebäude)</t>
  </si>
  <si>
    <t xml:space="preserve">   davon für Grundstück</t>
  </si>
  <si>
    <t xml:space="preserve">   davon für Gebäude</t>
  </si>
  <si>
    <t>Grunderwerbsteuer</t>
  </si>
  <si>
    <t xml:space="preserve"> auf Kaufpreis (=Grund &amp; Gebäude)</t>
  </si>
  <si>
    <t>Maklergebühren</t>
  </si>
  <si>
    <t>Notargebühren</t>
  </si>
  <si>
    <t>Gesamtkosten</t>
  </si>
  <si>
    <t>Miete p.m.</t>
  </si>
  <si>
    <t>Miete p.a.</t>
  </si>
  <si>
    <t>1. Miete am:</t>
  </si>
  <si>
    <t>Mietpreissteigerung p.a.</t>
  </si>
  <si>
    <t>p.a.</t>
  </si>
  <si>
    <t>Wertverlust des Gebäudes p.a.</t>
  </si>
  <si>
    <t>Angenommener Grenz-Steuersatz</t>
  </si>
  <si>
    <t>Eigenkapital</t>
  </si>
  <si>
    <t>Gesamtinvestion</t>
  </si>
  <si>
    <t>Finanzbedarf</t>
  </si>
  <si>
    <t>Finanzierungszeitraum</t>
  </si>
  <si>
    <t>1. Kredit</t>
  </si>
  <si>
    <t>Auszahlungkurs in Prozent</t>
  </si>
  <si>
    <t>Disagio in Prozent</t>
  </si>
  <si>
    <t xml:space="preserve"> </t>
  </si>
  <si>
    <t>Diasagio-Betrag:</t>
  </si>
  <si>
    <t>Auszahlungsbetrag:</t>
  </si>
  <si>
    <t>Nominalzins p.a.</t>
  </si>
  <si>
    <t>entspricht Effektivzins ca.</t>
  </si>
  <si>
    <t xml:space="preserve">  bei monatl. Tilgung</t>
  </si>
  <si>
    <t>2. Kredit</t>
  </si>
  <si>
    <t>Anschlusskredit</t>
  </si>
  <si>
    <t>. Jahr</t>
  </si>
  <si>
    <t>Ende Restlaufzeit</t>
  </si>
  <si>
    <t>Warnung</t>
  </si>
  <si>
    <t>Die oben angegebenen Zahlen stellen zukunftsgerichtete Planzahlen dar. Sie basieren auf:</t>
  </si>
  <si>
    <t>Annahmen, Schätzungen und Angeboten von Lieferanten, die nicht unter unserer Kontrolle sind.</t>
  </si>
  <si>
    <t>Vermögens-</t>
  </si>
  <si>
    <t>Jahr</t>
  </si>
  <si>
    <t>Gebäude</t>
  </si>
  <si>
    <t>über die Jahre</t>
  </si>
  <si>
    <t>Geschätzter</t>
  </si>
  <si>
    <t>Überschuss bei</t>
  </si>
  <si>
    <t>Mittel-</t>
  </si>
  <si>
    <t>kumul.</t>
  </si>
  <si>
    <t>Überschuss</t>
  </si>
  <si>
    <t>Zins</t>
  </si>
  <si>
    <t>Kumul.</t>
  </si>
  <si>
    <t xml:space="preserve"> Tilgung</t>
  </si>
  <si>
    <t>Annuität=</t>
  </si>
  <si>
    <t>Ertrag aus</t>
  </si>
  <si>
    <t>Zu  ver-</t>
  </si>
  <si>
    <t xml:space="preserve"> (Grenz-)</t>
  </si>
  <si>
    <t>zufluss (+) bzw.</t>
  </si>
  <si>
    <t>Verkehrswert</t>
  </si>
  <si>
    <t>aus Verkauf des</t>
  </si>
  <si>
    <t>bezogen auf</t>
  </si>
  <si>
    <t>Restschuld</t>
  </si>
  <si>
    <t>in %</t>
  </si>
  <si>
    <t xml:space="preserve">  Zinsen</t>
  </si>
  <si>
    <t>Zins +</t>
  </si>
  <si>
    <t>Vermietung</t>
  </si>
  <si>
    <t xml:space="preserve"> AFA</t>
  </si>
  <si>
    <t>steuernder</t>
  </si>
  <si>
    <t>Steuer-</t>
  </si>
  <si>
    <t>Abfluss (-)</t>
  </si>
  <si>
    <t xml:space="preserve">  zu-/abfluss</t>
  </si>
  <si>
    <t xml:space="preserve"> (Verkaufswert)</t>
  </si>
  <si>
    <t>Objektes plus</t>
  </si>
  <si>
    <t>Gesamtkosten von</t>
  </si>
  <si>
    <t xml:space="preserve">   in €</t>
  </si>
  <si>
    <t>Tilgung</t>
  </si>
  <si>
    <t>kosten u.</t>
  </si>
  <si>
    <t>in € p.a.</t>
  </si>
  <si>
    <t xml:space="preserve"> in % </t>
  </si>
  <si>
    <t>in €</t>
  </si>
  <si>
    <t>Gewinn(+)</t>
  </si>
  <si>
    <t>satz</t>
  </si>
  <si>
    <t>nach Steuern</t>
  </si>
  <si>
    <t>des Objektes</t>
  </si>
  <si>
    <t>kumul. Tilgung</t>
  </si>
  <si>
    <t>Verlust(-)</t>
  </si>
  <si>
    <t>(1)</t>
  </si>
  <si>
    <t>(2)</t>
  </si>
  <si>
    <t>(3)</t>
  </si>
  <si>
    <t>(4)</t>
  </si>
  <si>
    <t>(5)</t>
  </si>
  <si>
    <t>(6)</t>
  </si>
  <si>
    <t>(7)</t>
  </si>
  <si>
    <t>(10)</t>
  </si>
  <si>
    <t>(11)</t>
  </si>
  <si>
    <t>(12)</t>
  </si>
  <si>
    <t>(13)</t>
  </si>
  <si>
    <t>(18)</t>
  </si>
  <si>
    <t>=</t>
  </si>
  <si>
    <t>(1)*(2)</t>
  </si>
  <si>
    <t>kredit</t>
  </si>
  <si>
    <t xml:space="preserve"> - Disagio</t>
  </si>
  <si>
    <t>Mieteinkünfte</t>
  </si>
  <si>
    <t>Mittelab-/zufluss</t>
  </si>
  <si>
    <t xml:space="preserve"> - Betriebskosten</t>
  </si>
  <si>
    <t xml:space="preserve"> - Zins und Tilgung</t>
  </si>
  <si>
    <t xml:space="preserve"> - Zinsen</t>
  </si>
  <si>
    <t xml:space="preserve"> + kumul. Tilgungen</t>
  </si>
  <si>
    <t xml:space="preserve"> - AfA</t>
  </si>
  <si>
    <t>Grundbuch Amt</t>
  </si>
  <si>
    <t>Grunderwerbsteuer nach Bundesländern</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</si>
  <si>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</si>
  <si>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</si>
  <si>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</si>
  <si>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</si>
  <si>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</si>
  <si>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</si>
  <si>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</si>
  <si>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</si>
  <si>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</si>
  <si>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</si>
  <si>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</si>
  <si>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</si>
  <si>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</si>
  <si>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</si>
  <si>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</si>
  <si>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</si>
  <si>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wird als Mietminderung in Kalkulation berücksichtigt!</t>
  </si>
  <si>
    <t>So können sich z.B. über den Betrachtungszeitraum die Steuergesetze bzw. als auch der Einkommensgrenzsteuersatz ändern.</t>
  </si>
  <si>
    <t>nachhaltige durchschn. Miete p.a.</t>
  </si>
  <si>
    <t>Durchschn. Mietausfalls-/Leerstandsrisiko</t>
  </si>
  <si>
    <t>Adresse</t>
  </si>
  <si>
    <t>Wohnfläche</t>
  </si>
  <si>
    <t xml:space="preserve"> Jahre</t>
  </si>
  <si>
    <t>Restlaufzeit in Jahren</t>
  </si>
  <si>
    <t>Zinsbindung in Jahren</t>
  </si>
  <si>
    <t>Annuität 2. Kredit p.a.</t>
  </si>
  <si>
    <t>Annuität 2. Kredit p.m.</t>
  </si>
  <si>
    <t>Annuität 1. Kredit p.a.</t>
  </si>
  <si>
    <t>Annuität 1. Kredit p.m.</t>
  </si>
  <si>
    <t>für Restlaufzeit</t>
  </si>
  <si>
    <t>Parameter für vermietes Objekt</t>
  </si>
  <si>
    <t xml:space="preserve"> p.a.</t>
  </si>
  <si>
    <t>Anfangskredit</t>
  </si>
  <si>
    <t>Zinsbindung endet im Jahr</t>
  </si>
  <si>
    <t xml:space="preserve"> Grundstücksanteil am Kaufpreis</t>
  </si>
  <si>
    <t>Unterhaltskostensteigerung p.a.</t>
  </si>
  <si>
    <t xml:space="preserve">entspricht Effektivzins ca. </t>
  </si>
  <si>
    <t>nachhaltiger</t>
  </si>
  <si>
    <t>Restschuld am Jahresende</t>
  </si>
  <si>
    <t>Restschuld am Jahreanfang</t>
  </si>
  <si>
    <t>Tilgung p.a.</t>
  </si>
  <si>
    <t>Kumul. Tilgung</t>
  </si>
  <si>
    <t>Darlehen</t>
  </si>
  <si>
    <t>Annuität / Kapitaldienst p.a.</t>
  </si>
  <si>
    <t xml:space="preserve"> Miete reduziert um Leerstandsrisko</t>
  </si>
  <si>
    <t>Miete pro Jahr</t>
  </si>
  <si>
    <t xml:space="preserve">Keine Gewähr für die Richtigkeit der Angaben. Dieses Tool ersetzt keine fundierte Rechts-, Steuer- oder Finanzberatung. </t>
  </si>
  <si>
    <t>Mittelfuss-Entwicklung</t>
  </si>
  <si>
    <t>Zinsen p.a.</t>
  </si>
  <si>
    <t>Nach-Steuer-Belastung einer vermieteten, kredit-finanzierten Immobilie!</t>
  </si>
  <si>
    <t xml:space="preserve">Grundstück </t>
  </si>
  <si>
    <t xml:space="preserve"> unter Berücksichtigung des Mietausfallsrisikos und der Instandhaltung</t>
  </si>
  <si>
    <t>Asset-Wert-Entwicklung</t>
  </si>
  <si>
    <t>- Instandhaltung</t>
  </si>
  <si>
    <t>Objekt und Größe</t>
  </si>
  <si>
    <t>pro m² Gund</t>
  </si>
  <si>
    <t xml:space="preserve">Objekt </t>
  </si>
  <si>
    <t xml:space="preserve">   Investitionsvolumen (ohne Disagio)</t>
  </si>
  <si>
    <t xml:space="preserve">    geschätzt bitte anpassen!</t>
  </si>
  <si>
    <t xml:space="preserve">  Bitte Annahme treffen!</t>
  </si>
  <si>
    <t xml:space="preserve"> geschätzt, muss beim Notar erfragt werden!</t>
  </si>
  <si>
    <t>https://www.jeder-kann-immobilien.de/immobilien-rendite-berechnen/</t>
  </si>
  <si>
    <t>https://www.opportunityfinder.de/index.php/2017/11/26/immobilien-rendite-berechnen-excel-kostenlos/</t>
  </si>
  <si>
    <t>https://ratgeber.immowelt.de/a/steuern-sparen-mit-immobilien-afa-nutzen.html</t>
  </si>
  <si>
    <t>Weitere Informationen zur Finanzierung von Immobilien finden sich:</t>
  </si>
  <si>
    <t>Deutschland</t>
  </si>
  <si>
    <t>Baden-Wuerttemberg</t>
  </si>
  <si>
    <t>3,57 bis 5,95</t>
  </si>
  <si>
    <t xml:space="preserve">  in %</t>
  </si>
  <si>
    <t xml:space="preserve"> Durchschn.</t>
  </si>
  <si>
    <t xml:space="preserve"> auf Kaufpreis (unterschiedlich je Bundesland)</t>
  </si>
  <si>
    <t>Was bringt eine vermietete Immobilie?</t>
  </si>
  <si>
    <t>Das Rechenmodell wurde erstellt von:
Dr. Klaus F. Odenwälder</t>
  </si>
  <si>
    <t xml:space="preserve"> - eingebrachtes Eigenkapital</t>
  </si>
  <si>
    <t xml:space="preserve"> - Restschuld aus Darlehn zum jeweiligen Zeitpunkt</t>
  </si>
  <si>
    <t xml:space="preserve"> - kumul. Tilgung bis zum jeweiligen Zeitpunkt</t>
  </si>
  <si>
    <t>Die Nebenserwerbskosten, wie Makler, Grundsteuer, etc, die am Anfang anfallen,</t>
  </si>
  <si>
    <t>Warum ist der Vermögenszuwachs am Anfang oft negativ?</t>
  </si>
  <si>
    <t>ist die  Summe aus kumulierter Tilgung und der Differenz aus (Verkaufserlös - Restschuld)</t>
  </si>
  <si>
    <t xml:space="preserve">  Parameter für Verkaufswertermittlung </t>
  </si>
  <si>
    <t>Preissteigerung von Baukosten p.a.</t>
  </si>
  <si>
    <t xml:space="preserve">  Altersabschlag = Parameter für Verkaufswertermittlung</t>
  </si>
  <si>
    <r>
      <rPr>
        <b/>
        <sz val="10"/>
        <rFont val="Arial"/>
        <family val="2"/>
      </rPr>
      <t>Hypothetischer Vermögenszuwachs</t>
    </r>
    <r>
      <rPr>
        <sz val="10"/>
        <rFont val="Arial"/>
        <family val="2"/>
      </rPr>
      <t xml:space="preserve"> errechnet sich aus:</t>
    </r>
  </si>
  <si>
    <t xml:space="preserve">meist kleiner als die Summe der Erwerbsnebenkosten. </t>
  </si>
  <si>
    <t>erhöhen das Kreditvolumen. Bei einem Verkauf einer Immobilie in den Anfangsjahren</t>
  </si>
  <si>
    <t>Verkaufspreis</t>
  </si>
  <si>
    <t>minus</t>
  </si>
  <si>
    <t xml:space="preserve"> - laufende Kosten (Instandh. &amp; Rücklagen)</t>
  </si>
  <si>
    <t xml:space="preserve"> - Erwerbsnebenkosten (am Anfang)</t>
  </si>
  <si>
    <t xml:space="preserve"> + Steuerersparnis (wenn relevant)</t>
  </si>
  <si>
    <t xml:space="preserve"> + Miete</t>
  </si>
  <si>
    <t>änderung</t>
  </si>
  <si>
    <t xml:space="preserve"> - Steuerzahlung bzw.</t>
  </si>
  <si>
    <t>http://www.faz.net/aktuell/finanzen/meine-finanzen/vermoegensfragen/die-vermoegensfrage-was-werfen-immobilien-eigentlich-genau-ab-13162634.html</t>
  </si>
  <si>
    <t>vgl. Bodenrichtwert</t>
  </si>
  <si>
    <t xml:space="preserve"> geschätzt, kann variieren</t>
  </si>
  <si>
    <t xml:space="preserve">    Annahme, bitte anpassen!</t>
  </si>
  <si>
    <t>Nutz- u.Wohnfläche</t>
  </si>
  <si>
    <t>Gesamtinvestition</t>
  </si>
  <si>
    <t>Nutz- u.</t>
  </si>
  <si>
    <t>Anzahl Quadratmeter Nutz- u. Wohnfläche</t>
  </si>
  <si>
    <t xml:space="preserve"> Preis für Nutz- u. Wohnraum pro m² (mit Grundst. gerechnet)</t>
  </si>
  <si>
    <t>Bewirtschtungs-/Unterhaltskosten 
incl. Instandhaltungsrücklage p.a.</t>
  </si>
  <si>
    <r>
      <t>Die "</t>
    </r>
    <r>
      <rPr>
        <b/>
        <sz val="10"/>
        <rFont val="Arial"/>
        <family val="2"/>
      </rPr>
      <t>Vermögensänderung</t>
    </r>
    <r>
      <rPr>
        <sz val="10"/>
        <rFont val="Arial"/>
        <family val="2"/>
      </rPr>
      <t xml:space="preserve">"  errechnet sich aus dem Mittelzu-  und </t>
    </r>
  </si>
  <si>
    <t xml:space="preserve"> + geschätzter Verkaufspreis zum jeweiligen Zeitpunkt</t>
  </si>
  <si>
    <t xml:space="preserve"> vor Steuer</t>
  </si>
  <si>
    <t>https://immobilien.sparkasse.de/immobilienrechner/baukostenrechner.html</t>
  </si>
  <si>
    <t>https://www.finanztip.de/baufinanzierung/immobilie-kapitalanlage/</t>
  </si>
  <si>
    <t>nachh. Mietrendite p.a.</t>
  </si>
  <si>
    <t xml:space="preserve"> Miete p.a. in Prozent des Investitionsvolumens</t>
  </si>
  <si>
    <t>Investition als Vielfaches der Jahresmiete</t>
  </si>
  <si>
    <t>Instandsetzung am Anfang</t>
  </si>
  <si>
    <t>Instandhaltungsrücklage p.a</t>
  </si>
  <si>
    <t>lfd. Reparturen und Instandhaltung p.a.</t>
  </si>
  <si>
    <r>
      <t xml:space="preserve">   Das </t>
    </r>
    <r>
      <rPr>
        <b/>
        <sz val="11"/>
        <rFont val="Verdana"/>
        <family val="2"/>
      </rPr>
      <t>Fitting up erhöht den Gebäudewert</t>
    </r>
    <r>
      <rPr>
        <sz val="11"/>
        <rFont val="Verdana"/>
        <family val="2"/>
      </rPr>
      <t xml:space="preserve"> und wird über die Abschreibungsdauer abgeschrieben.</t>
    </r>
  </si>
  <si>
    <t>Fitting up (erhöht den Gebäudewert)</t>
  </si>
  <si>
    <t xml:space="preserve"> Nicht an Mieter weiterbelastare Kosten!</t>
  </si>
  <si>
    <t>Hausverwaltung, Hausmeister, etc.  p.a.</t>
  </si>
  <si>
    <t xml:space="preserve">An Mieter umlegbare / weiterbelastare Kosten!   n/a </t>
  </si>
  <si>
    <r>
      <t xml:space="preserve">Diese </t>
    </r>
    <r>
      <rPr>
        <b/>
        <sz val="12"/>
        <rFont val="Verdana"/>
        <family val="2"/>
      </rPr>
      <t xml:space="preserve">Excel-Kalkulation </t>
    </r>
    <r>
      <rPr>
        <sz val="12"/>
        <rFont val="Verdana"/>
        <family val="2"/>
      </rPr>
      <t>wird kostenfrei ohne Haftungs- und Gewährleistungsansprüche überlassen.</t>
    </r>
  </si>
  <si>
    <t>Es wird keine Gewährleistung und Haftung für die Richtigkeit der Kalkulationen übernommen.</t>
  </si>
  <si>
    <t>Das Kalkulationsmodell beschränkt sich auf einen maximalen Zeithorizont von 30 Jahren.</t>
  </si>
  <si>
    <t>Dieses Tool ersetzt keine fundierte Rechts-, Steuer- oder Finanzberatung.</t>
  </si>
  <si>
    <t>Dieses Tool stellt ein Nebenprodukt meiner Tätigkeit in meinen Private Office dar und wurde nicht entwickelt, um es als Produkt zu vermarkten.</t>
  </si>
  <si>
    <t>Feedback und Anregungen senden Sie bitte an:</t>
  </si>
  <si>
    <t xml:space="preserve">wie die Belastung aussehen könnte, wenn alle die gesetzten Annahmen und Parameter so eintreffen bzw. Bestand haben würden._x000D_
</t>
  </si>
  <si>
    <t xml:space="preserve">	Es handelt sich um eine Modellrechnung (Szenario-Rechnung) und keine Prognose. Das bedeutet, da Ergebnis  zeigt lediglich,</t>
  </si>
  <si>
    <t>Modellrechnung</t>
  </si>
  <si>
    <t xml:space="preserve"> Bleiben außen vor, da diese Kosten nicht selbst sondern vom Mieter getragen werden!</t>
  </si>
  <si>
    <r>
      <rPr>
        <sz val="12"/>
        <color indexed="8"/>
        <rFont val="Calibri"/>
        <family val="2"/>
      </rPr>
      <t>●</t>
    </r>
    <r>
      <rPr>
        <sz val="12"/>
        <color indexed="8"/>
        <rFont val="Verdana"/>
        <family val="2"/>
      </rPr>
      <t xml:space="preserve">  Im Lauf der Zeit ändert sich Ihr Einkommen und damit Ihr Grenzsteuersatz,</t>
    </r>
  </si>
  <si>
    <t xml:space="preserve">   z. B. durch Scheidung,  Arbeitslosigkeit oder Karriere.</t>
  </si>
  <si>
    <t>●  Das Kalkulations-Modell unterstellt aber einen konstanten Grenzsteuersatz!</t>
  </si>
  <si>
    <t>●  Eine Steuerreform als auch Ihre Einkommshöhe kann irgendwann einmal Ihren Grenzsteuersatz beeinflussen.</t>
  </si>
  <si>
    <t>●  Die Zinshöhe für die Wiedereindeckung mit Krediten, kann nur geschätzt werden; ist als nicht sicher!</t>
  </si>
  <si>
    <t>●  Mieterhöhung erfolgen nicht kontinuierlich, wie in der Modellrecchnung unterstellt.</t>
  </si>
  <si>
    <t>●  Die unterstellten Mietpreissteigerung treffen wahrscheinlich auch nicht so ein.</t>
  </si>
  <si>
    <t>●  Auch Unterhaltskosten sind nicht exakt vorhersagbar.</t>
  </si>
  <si>
    <t>●  Der Einfluss, den die Bevölkerungs- und Wirtschaftsentwicklung auf die Immobilienpreis ausübt,</t>
  </si>
  <si>
    <t xml:space="preserve">   bleibt in dieser Modellrechnung unberücksichtigt!</t>
  </si>
  <si>
    <t>●   usw.</t>
  </si>
  <si>
    <t>eintreffen und zwar aus u.a. folgenden Gründen:</t>
  </si>
  <si>
    <t xml:space="preserve">Dieses Tool ersetzt keine fundierte Rechts-, Steuer- oder Finanzberatung. </t>
  </si>
  <si>
    <t xml:space="preserve">Keine Gewähr für die Richtigkeit der Angaben. </t>
  </si>
  <si>
    <t>Mietausfälle bzw. Leerstandskosten ereignen sich sproadisch und nicht kontinuierlich, wie in der Modellrechnung unterstellt.</t>
  </si>
  <si>
    <t>Deshalb sind diese Planzahlen nur Orientierungsgrößen und müssen immer wieder überprüft und angepasst werden!</t>
  </si>
  <si>
    <t>Achtung:</t>
  </si>
  <si>
    <t>Änderung der Maklerprovisionen in 2021 erwartet!</t>
  </si>
  <si>
    <t>Maklerprovision</t>
  </si>
  <si>
    <t>Unterhalts-</t>
  </si>
  <si>
    <t>↑</t>
  </si>
  <si>
    <t>(-) = Mittelabfluß / Aufwand</t>
  </si>
  <si>
    <t>(+) = Mittelzufluß / Einnahme</t>
  </si>
  <si>
    <t>Beachte:</t>
  </si>
  <si>
    <t xml:space="preserve"> (+) = Ersparnis</t>
  </si>
  <si>
    <t xml:space="preserve"> (-) = Zahlung</t>
  </si>
  <si>
    <t xml:space="preserve">Achtung: </t>
  </si>
  <si>
    <t xml:space="preserve"> Mittelabfluss =(-)</t>
  </si>
  <si>
    <t xml:space="preserve"> deshalb in </t>
  </si>
  <si>
    <t xml:space="preserve"> Formeln</t>
  </si>
  <si>
    <t xml:space="preserve"> Pluszeichen </t>
  </si>
  <si>
    <t>vor Steuern plus</t>
  </si>
  <si>
    <t>5 Jahre</t>
  </si>
  <si>
    <t>10 Jahre</t>
  </si>
  <si>
    <t>15 Jahre</t>
  </si>
  <si>
    <t>20 Jahre</t>
  </si>
  <si>
    <t>25 Jahre</t>
  </si>
  <si>
    <t>=  Verkehrs-/Verkaufswert</t>
  </si>
  <si>
    <t>Version</t>
  </si>
  <si>
    <t>Changes</t>
  </si>
  <si>
    <t xml:space="preserve">by </t>
  </si>
  <si>
    <t>Date</t>
  </si>
  <si>
    <t>Filename</t>
  </si>
  <si>
    <t>Klaus F. Odenwälder</t>
  </si>
  <si>
    <t>30 Jahre</t>
  </si>
  <si>
    <t>Verkauf</t>
  </si>
  <si>
    <t>aus dem Uberschuss</t>
  </si>
  <si>
    <t>bei hypothetischem</t>
  </si>
  <si>
    <t>im jeweiligen Jahr</t>
  </si>
  <si>
    <t>nach</t>
  </si>
  <si>
    <t>Eigen-</t>
  </si>
  <si>
    <t>kapital (EK)</t>
  </si>
  <si>
    <t>Hypothetische</t>
  </si>
  <si>
    <t>zuwachs aus</t>
  </si>
  <si>
    <t>Tilgung und</t>
  </si>
  <si>
    <t>kumu. Cash Flow</t>
  </si>
  <si>
    <t>über</t>
  </si>
  <si>
    <t>Verkaufswert der Immobilie (Jahresanfang)</t>
  </si>
  <si>
    <t>Hypoth. Mittel-Überschuss bei Verkauf</t>
  </si>
  <si>
    <t xml:space="preserve">Vermögen aus Tilgung + kumul. Cash Flow </t>
  </si>
  <si>
    <t>Objektes</t>
  </si>
  <si>
    <t>Einnahmen - Ausgaben p.a. nach Steuer</t>
  </si>
  <si>
    <t>Kumul. Einnahmen - Ausgaben nach Steuer</t>
  </si>
  <si>
    <t>Mittel-Überschuss bei hypoth. Verkauf</t>
  </si>
  <si>
    <t>Hier wird kein Überschuss oder Verlust aus einem</t>
  </si>
  <si>
    <t>hypothetischen Verkauf der Immobilie berücksichtigt!</t>
  </si>
  <si>
    <t xml:space="preserve">Asset-Status (Verkaufswert - Restschuld) </t>
  </si>
  <si>
    <t>Darlehns-</t>
  </si>
  <si>
    <t xml:space="preserve"> wie folgt:</t>
  </si>
  <si>
    <t xml:space="preserve"> - Zinsen  (oder Annuität - Tilgung)</t>
  </si>
  <si>
    <t>berüchsichtigt</t>
  </si>
  <si>
    <t>Gebäudekosten-</t>
  </si>
  <si>
    <t>Altersabschlag</t>
  </si>
  <si>
    <t xml:space="preserve"> Mittelabfluss (Cash Flow), der die Annunität (=Zins + Tilgung) enthält, reduziert um die Tilgung,</t>
  </si>
  <si>
    <t>Instandhaltung</t>
  </si>
  <si>
    <t>Rücklagen u.</t>
  </si>
  <si>
    <t>Marktwert</t>
  </si>
  <si>
    <t>Grundstück</t>
  </si>
  <si>
    <t>- kumul. Mittelabfüsse</t>
  </si>
  <si>
    <t>+ kumul. Mittelzuflüsse</t>
  </si>
  <si>
    <t>Überschuss in %</t>
  </si>
  <si>
    <t xml:space="preserve">bei Verkauf </t>
  </si>
  <si>
    <t>da  -(+) = (-)</t>
  </si>
  <si>
    <t>und</t>
  </si>
  <si>
    <t>und  -(-) = (+)</t>
  </si>
  <si>
    <t>(Baukosten-</t>
  </si>
  <si>
    <t xml:space="preserve"> Inflation)</t>
  </si>
  <si>
    <t xml:space="preserve">zum </t>
  </si>
  <si>
    <t>Jahresanfang</t>
  </si>
  <si>
    <t>Inflation</t>
  </si>
  <si>
    <t>auf Grund-</t>
  </si>
  <si>
    <t>stückspreise</t>
  </si>
  <si>
    <t>Anfangs-</t>
  </si>
  <si>
    <t>No.</t>
  </si>
  <si>
    <t>enthält keine</t>
  </si>
  <si>
    <t>anteilige</t>
  </si>
  <si>
    <t>Nebenerwerbs-</t>
  </si>
  <si>
    <t>kosten</t>
  </si>
  <si>
    <t>für Gebäude;</t>
  </si>
  <si>
    <t xml:space="preserve">ab / im </t>
  </si>
  <si>
    <t>Asset-Werte: Immobilie, Darlehen, möglicher Überschuss aus Verkauf im Zeitverlauf</t>
  </si>
  <si>
    <r>
      <rPr>
        <b/>
        <sz val="11"/>
        <rFont val="Verdana"/>
        <family val="2"/>
      </rPr>
      <t>AfA Basis</t>
    </r>
    <r>
      <rPr>
        <sz val="11"/>
        <rFont val="Verdana"/>
        <family val="2"/>
      </rPr>
      <t xml:space="preserve"> (Gebäudewert + anteilige ENK)</t>
    </r>
  </si>
  <si>
    <t xml:space="preserve"> = Gebäudewert bei Kauf  + Fittiing up + anteilige Erwerbsnebenkosten (ENK)</t>
  </si>
  <si>
    <t>Steuerzahlung</t>
  </si>
  <si>
    <t xml:space="preserve">  -zuwachs</t>
  </si>
  <si>
    <t>aus Vermietung</t>
  </si>
  <si>
    <t xml:space="preserve">durchschn. jährliche </t>
  </si>
  <si>
    <t>Tilgung =</t>
  </si>
  <si>
    <r>
      <t xml:space="preserve">Gebäude-Abschreibung </t>
    </r>
    <r>
      <rPr>
        <sz val="11"/>
        <color theme="0"/>
        <rFont val="Verdana"/>
        <family val="2"/>
      </rPr>
      <t xml:space="preserve">über </t>
    </r>
  </si>
  <si>
    <t>Gewinn- u. Verlust aus Vermietung</t>
  </si>
  <si>
    <t xml:space="preserve"> CASH FLOW  Entwicklung</t>
  </si>
  <si>
    <t>A S S E T    Entwicklung</t>
  </si>
  <si>
    <t xml:space="preserve">Rendite n. Steuer </t>
  </si>
  <si>
    <t>einem Verkauf</t>
  </si>
  <si>
    <t xml:space="preserve">EK Rendite n. Steuer </t>
  </si>
  <si>
    <t>im Verhältnis</t>
  </si>
  <si>
    <t>zum Eigenkapital</t>
  </si>
  <si>
    <t xml:space="preserve">(EK) bei einem </t>
  </si>
  <si>
    <t>in % durch</t>
  </si>
  <si>
    <t>Verkauf bezogen</t>
  </si>
  <si>
    <t>auf Investment</t>
  </si>
  <si>
    <t>in % durch Über-</t>
  </si>
  <si>
    <t>schuss bei einem</t>
  </si>
  <si>
    <t>auf Eigenkapital</t>
  </si>
  <si>
    <t>vom</t>
  </si>
  <si>
    <t>Wertzuwachs des Grundstücks p.a.</t>
  </si>
  <si>
    <t>R E N D I T E   Betrachtung</t>
  </si>
  <si>
    <t>geschätzter</t>
  </si>
  <si>
    <t xml:space="preserve"> Gebäudeanteil am Kaufpreis; dient zum Verrechnen der anteiligen Erwerbsnebenkosten</t>
  </si>
  <si>
    <t>Gewinn- und Verlust-Rechung sowie Cash-Flow-Betrachtung für eine vermietete Immobilie</t>
  </si>
  <si>
    <t>Stand 2020</t>
  </si>
  <si>
    <t>/ m² p.a.</t>
  </si>
  <si>
    <t>/ m² p.a. geschätzt ! Bitte anpassen!</t>
  </si>
  <si>
    <t xml:space="preserve"> - Betriebs- und</t>
  </si>
  <si>
    <t xml:space="preserve"> - Unterhaltskosten</t>
  </si>
  <si>
    <t>Bonitäts-</t>
  </si>
  <si>
    <t>Status</t>
  </si>
  <si>
    <t>Bonitäts-Status</t>
  </si>
  <si>
    <t>dividiert durch</t>
  </si>
  <si>
    <r>
      <t xml:space="preserve">   Die </t>
    </r>
    <r>
      <rPr>
        <b/>
        <sz val="11"/>
        <rFont val="Verdana"/>
        <family val="2"/>
      </rPr>
      <t>Instandsetzungskosten</t>
    </r>
    <r>
      <rPr>
        <sz val="11"/>
        <rFont val="Verdana"/>
        <family val="2"/>
      </rPr>
      <t xml:space="preserve"> (z.B. Reparaturen) werden im Jahr des Kaufs steuerlich angesetzt!</t>
    </r>
  </si>
  <si>
    <t>Steuerzahlung (-)</t>
  </si>
  <si>
    <t>bzw. Steuerersparnis (+)</t>
  </si>
  <si>
    <t>versus</t>
  </si>
  <si>
    <t>zuwachs</t>
  </si>
  <si>
    <t>Cash-Aufwand</t>
  </si>
  <si>
    <t xml:space="preserve">Cash-Aufwand </t>
  </si>
  <si>
    <r>
      <t xml:space="preserve">Die </t>
    </r>
    <r>
      <rPr>
        <b/>
        <sz val="14"/>
        <color indexed="8"/>
        <rFont val="Verdana"/>
        <family val="2"/>
      </rPr>
      <t>aktuelle Version</t>
    </r>
    <r>
      <rPr>
        <sz val="14"/>
        <color indexed="8"/>
        <rFont val="Verdana"/>
        <family val="2"/>
      </rPr>
      <t xml:space="preserve"> dieses Files gibt es </t>
    </r>
    <r>
      <rPr>
        <b/>
        <sz val="14"/>
        <color indexed="8"/>
        <rFont val="Verdana"/>
        <family val="2"/>
      </rPr>
      <t xml:space="preserve">zum Downloaden </t>
    </r>
    <r>
      <rPr>
        <sz val="14"/>
        <color indexed="8"/>
        <rFont val="Verdana"/>
        <family val="2"/>
      </rPr>
      <t>auf dem Controlling-Portal.de !</t>
    </r>
  </si>
  <si>
    <t>Cash Flow</t>
  </si>
  <si>
    <t>Parameter für Rendite-Vergleiche</t>
  </si>
  <si>
    <t>Rendite p.a. nominal nach Steuer
bei o.g. (Grenz-)Steuersatz</t>
  </si>
  <si>
    <t>Vermögenszuwachs</t>
  </si>
  <si>
    <t>kumulierter</t>
  </si>
  <si>
    <t>kumul. Cash Flow</t>
  </si>
  <si>
    <t>angelegt u. verzinst</t>
  </si>
  <si>
    <t>Tilgung und kumul.</t>
  </si>
  <si>
    <t>verzinst</t>
  </si>
  <si>
    <t>mit Rendite von</t>
  </si>
  <si>
    <t xml:space="preserve"> unverzinsten </t>
  </si>
  <si>
    <t xml:space="preserve">Cash Flow </t>
  </si>
  <si>
    <t>plus</t>
  </si>
  <si>
    <t>Gründung Immobilien Gesellschaft</t>
  </si>
  <si>
    <t>Die degressive AfA (Absetzung für Abnutzung) im Überblick</t>
  </si>
  <si>
    <t>Die degressive Abschreibung gilt ausschließlich für neu gebaute bzw. im Jahr der Fertigstellung erworbene Wohngebäude und Wohnungen.</t>
  </si>
  <si>
    <t>Im ersten Jahr können fünf Prozent der Investitionskosten steuerlich geltend gemacht werden. In den folgenden Jahren können jeweils fünf Prozent des Restwertes steuerlich geltend gemacht werden.</t>
  </si>
  <si>
    <t>Ein Wechsel zur linearen AfA ist möglich.</t>
  </si>
  <si>
    <t>Der Baubeginn des Wohngebäudes muss zwischen dem 1. Oktober 2023 und dem 30. September 2029 (6-Jahres Zeitraum) liegen.</t>
  </si>
  <si>
    <t>Erstmals ist nicht der Bauantrag entscheidendes Kriterium für die Gewährung der degressiven AfA, sondern der angezeigte Baubeginn. So wollen wir auch die Umsetzung von Projekten anreizen, die zwar schon geplant, aber aus unterschiedlichen Gründen – z. B. Probleme bei der Finanzierung – noch nicht begonnen wurden. Damit soll auch der Bauüberhang von mehr als 800.000 genehmigten Wohnungen abgebaut werden.</t>
  </si>
  <si>
    <t>Beim Erwerb einer Immobilie muss der Vertrag zwischen dem 1. Oktober 2023 und dem 30. September 2029 rechtswirksam geschlossen werden. Die Immobilie muss bis zum Ende des Jahres der Fertigstellung erworben werden.</t>
  </si>
  <si>
    <t>Die degressive AfA kann zudem mit der Sonderabschreibung für den Mietwohnungsneubau kombiniert werden. Begünstigt werden dabei Neubauten, mit dem energetischen Gebäudestandard EH40/QNG, die eine Baukostenobergrenze von 5.200 Euro pro m² einhalten.</t>
  </si>
  <si>
    <t>Die Bedingungen für die genannte Sonderabschreibung für den Mietwohnungsneubau wurden mit dem Wachstumschancengesetz nochmal verbessert: Der Anwendungszeitraum für Neufälle wurde bis Ende September 2029 verlängert, die Baukostenobergrenze von 4.800 Euro pro m² auf 5.200 Euro pro m² und die begünstigten Herstellungs-/Anschaffungskosten von 2.500 Euro pro m² auf 4.000 Euro pro m² erhöht.</t>
  </si>
  <si>
    <t>https://www.bmwsb.bund.de/SharedDocs/kurzmeldungen/Webs/BMWSB/DE/2024/03/degressive-afa.html</t>
  </si>
  <si>
    <t xml:space="preserve">Quelle:   </t>
  </si>
  <si>
    <t>Beispielrechnung</t>
  </si>
  <si>
    <t>Bei 400.000 Euro Investitionskosten kann der Investor im ersten Jahr 20.000 Euro (5 Prozent von 400.000 Euro) steuerlich abschreiben, im zweiten Jahr sind dann 19.000 Euro abschrei-bungsfähig (400.000 Euro abzüglich der 20.000 Euro vom ersten Jahr = 380.000 Euro Restwert). Innerhalb von sechs Jahren nach Fertigstellung/Erwerb der Immobilie kann der Investor so rund 106.000 Euro steuerlich geltend machen (d.h. auf diesen Betrag müssen keine Steuern entrichtet werden).</t>
  </si>
  <si>
    <t>Lineare AfA: Drei statt zwei Prozent ab dem 1.1.2023</t>
  </si>
  <si>
    <t>§ 7 Abs. 4 Satz 1 Nr. 2 EStG: Die lineare Absetzung für Abnutzung (lineare AfA) wurde zum 1.1.2023 von zwei auf drei Prozent pro Jahr angehoben. Darauf hatten sich die Ampel-Parteien bereits im Koalitionsvertrag verständigt.</t>
  </si>
  <si>
    <t>Die aus dem Ansatz des höheren pauschalen AfA-Satzes resultierende kürzere Abschreibungsdauer von 33 Jahren hat aber keinen Einfluss auf die Beurteilung der tatsächlichen Nutzungsdauer von Wohngebäuden. Diese wird regelmäßig auch mehr als 50 Jahre betragen.</t>
  </si>
  <si>
    <t>Die Maßnahme gilt für ab dem 1.1.2023 fertiggestellte Wohngebäude (Regierungsentwurf: 30.6.2023).</t>
  </si>
  <si>
    <t>https://www.haufe.de/immobilien/wirtschaft-politik/abschreibung-beim-mietwohnungsbau_84342_572146.html</t>
  </si>
  <si>
    <t>der Restnutzungsdauer</t>
  </si>
  <si>
    <t>AfA: Linear oder Degressiv-Linear?</t>
  </si>
  <si>
    <t>Linear 2 % p.a.</t>
  </si>
  <si>
    <t>Linear 3 % p.a.</t>
  </si>
  <si>
    <t>bei Gewerbeimmobilien bleibt es bei Linear 2 % p.a.</t>
  </si>
  <si>
    <t>AfA Varianten für Wohnimmobilen</t>
  </si>
  <si>
    <t>Jahres</t>
  </si>
  <si>
    <t>Version vom</t>
  </si>
  <si>
    <t>https://prozentguru.de/gebaeude-afa-3-prozent/</t>
  </si>
  <si>
    <t>Sonder-</t>
  </si>
  <si>
    <t>p.a. in €</t>
  </si>
  <si>
    <t>(8)</t>
  </si>
  <si>
    <t xml:space="preserve"> (9)</t>
  </si>
  <si>
    <t>Sonder-AFA</t>
  </si>
  <si>
    <t xml:space="preserve">auf </t>
  </si>
  <si>
    <t>AfA auf</t>
  </si>
  <si>
    <t>in Euro</t>
  </si>
  <si>
    <t>insgesamt</t>
  </si>
  <si>
    <t>AfA p.a.</t>
  </si>
  <si>
    <t>auf</t>
  </si>
  <si>
    <t>bzw.</t>
  </si>
  <si>
    <t>AfA Varianten</t>
  </si>
  <si>
    <t>abhängig von der Restnutzungsdauer</t>
  </si>
  <si>
    <t>Degressiv 5% u. Linear 3%</t>
  </si>
  <si>
    <t>Degressiv 5% u. Linear 2%</t>
  </si>
  <si>
    <t>Linear 3%</t>
  </si>
  <si>
    <t>Linear 2%</t>
  </si>
  <si>
    <t>Linear x%</t>
  </si>
  <si>
    <t xml:space="preserve">Dieser </t>
  </si>
  <si>
    <t>Bereich kann</t>
  </si>
  <si>
    <t>überschrieben</t>
  </si>
  <si>
    <t>werden mit</t>
  </si>
  <si>
    <t>den relevanten</t>
  </si>
  <si>
    <t>AfA % Sätzen</t>
  </si>
  <si>
    <t>AfA Spezial</t>
  </si>
  <si>
    <t xml:space="preserve">  50 Jahre lang 2 % p.a.</t>
  </si>
  <si>
    <t xml:space="preserve">  33,3 Jahre lang 3% p.a.</t>
  </si>
  <si>
    <t xml:space="preserve">  6 Jahre lang 5 %, danach 2% p.a.</t>
  </si>
  <si>
    <t xml:space="preserve">  6 Jahre lang 5 %, danach 3% p,a,</t>
  </si>
  <si>
    <t>manuell eingeben</t>
  </si>
  <si>
    <t xml:space="preserve">   bildung bzw.</t>
  </si>
  <si>
    <t>Buchwert</t>
  </si>
  <si>
    <t>des Gebäudes</t>
  </si>
  <si>
    <t xml:space="preserve">am Ende des </t>
  </si>
  <si>
    <t>/ Linear x%</t>
  </si>
  <si>
    <t xml:space="preserve">Der angezeigte </t>
  </si>
  <si>
    <t xml:space="preserve"> %-Satz reflektiert</t>
  </si>
  <si>
    <t>die AfA über die</t>
  </si>
  <si>
    <t>falls diese &lt;50 Jahre</t>
  </si>
  <si>
    <t>AfA Varianten auf Gebäude über den Zeitverlauf</t>
  </si>
  <si>
    <t>siehe auch:</t>
  </si>
  <si>
    <t>Restnutzungsdauer</t>
  </si>
  <si>
    <t>(19)</t>
  </si>
  <si>
    <t>(20)</t>
  </si>
  <si>
    <t>(21)</t>
  </si>
  <si>
    <t>(22)</t>
  </si>
  <si>
    <t>(23)</t>
  </si>
  <si>
    <t xml:space="preserve"> Formeln mit</t>
  </si>
  <si>
    <r>
      <rPr>
        <b/>
        <sz val="11"/>
        <rFont val="Verdana"/>
        <family val="2"/>
      </rPr>
      <t>Sondertilgungen und Sonderabschreibungen</t>
    </r>
    <r>
      <rPr>
        <sz val="11"/>
        <rFont val="Verdana"/>
        <family val="2"/>
      </rPr>
      <t xml:space="preserve"> sind in der Tabelle "Cash &amp; Assets" manuell einzugeben!</t>
    </r>
  </si>
  <si>
    <t>Wähle die Art der AfA in der Tabelle "Parameter" durch Klicken auf die Lasche aus der Dropdown-Liste aus!  (siehe Abb.)</t>
  </si>
  <si>
    <t>tilgungen</t>
  </si>
  <si>
    <t>incl. Sonder-</t>
  </si>
  <si>
    <t>aber kein Mittelabfluss</t>
  </si>
  <si>
    <t>für Gewinn-/Verlustrechnung</t>
  </si>
  <si>
    <r>
      <t xml:space="preserve">  Hängt ab von Einkommen/-sentwicklung! 
  Kann über Betrachtungszeitraum schwanken!
  </t>
    </r>
    <r>
      <rPr>
        <b/>
        <sz val="11"/>
        <rFont val="Verdana"/>
        <family val="2"/>
      </rPr>
      <t>Fragen Sie dazu ihren Steuer- oder Finanzberater.</t>
    </r>
  </si>
  <si>
    <t>Degressiv  5% + Linear 3%</t>
  </si>
  <si>
    <t>Degressiv 5% + Linear 2%</t>
  </si>
  <si>
    <t>nur sinvoll</t>
  </si>
  <si>
    <t>siehe Parameter B18</t>
  </si>
  <si>
    <t>AfA ist kalkulatorischer Aufwand</t>
  </si>
  <si>
    <t xml:space="preserve"> [bei Linearer AfA]</t>
  </si>
  <si>
    <t xml:space="preserve">  (Gebäudewert aus Vorjahr)</t>
  </si>
  <si>
    <t xml:space="preserve"> [bei Degress. AfA]</t>
  </si>
  <si>
    <t>mit alternativen</t>
  </si>
  <si>
    <t>Kapitalanlagen</t>
  </si>
  <si>
    <t xml:space="preserve">für Vergleich </t>
  </si>
  <si>
    <t>Asset-Wertentwicklung</t>
  </si>
  <si>
    <t>Erwerbsnebenkosten (ENK)</t>
  </si>
  <si>
    <r>
      <t xml:space="preserve">(Grenz-)Steuersatz  </t>
    </r>
    <r>
      <rPr>
        <sz val="11"/>
        <rFont val="Verdana"/>
        <family val="2"/>
      </rPr>
      <t>siehe oben</t>
    </r>
  </si>
  <si>
    <t>Anlage-Rendite p.a. nominal vor Steuer</t>
  </si>
  <si>
    <t>Beispiel:</t>
  </si>
  <si>
    <t>Nur im ersten Jahr wird ein evtl. Disagio berücksichtigt. </t>
  </si>
  <si>
    <t xml:space="preserve">    =</t>
  </si>
  <si>
    <t xml:space="preserve"> errechnet sich wie folgt:</t>
  </si>
  <si>
    <r>
      <t xml:space="preserve">Da in dem Spalten mit einem </t>
    </r>
    <r>
      <rPr>
        <b/>
        <sz val="11"/>
        <rFont val="Calibri"/>
        <family val="2"/>
      </rPr>
      <t>Mittelabfluss als auch die AfA als negative Werte (-)</t>
    </r>
    <r>
      <rPr>
        <sz val="11"/>
        <rFont val="Calibri"/>
        <family val="2"/>
      </rPr>
      <t xml:space="preserve"> ausweisen</t>
    </r>
    <r>
      <rPr>
        <sz val="11"/>
        <color rgb="FF000000"/>
        <rFont val="Calibri"/>
        <family val="2"/>
      </rPr>
      <t xml:space="preserve"> werden</t>
    </r>
  </si>
  <si>
    <t>s</t>
  </si>
  <si>
    <t xml:space="preserve">  (Gebäude-Anschaffungswert)</t>
  </si>
  <si>
    <t xml:space="preserve">   minus  Disagio (im 1. Jahr, falls relevant)</t>
  </si>
  <si>
    <t xml:space="preserve">Das Disagio findet sich in der "Parameter-Tabelle" in Zelle: B62 </t>
  </si>
  <si>
    <t xml:space="preserve">und wird dort als positiver Wert ausgewiesen. </t>
  </si>
  <si>
    <t>  </t>
  </si>
  <si>
    <t xml:space="preserve"> n  steht für das n-te Jahr  bzw. die Zeilen-Nummer</t>
  </si>
  <si>
    <t>https://www.faz.net/aktuell/finanzen/immobilien-zuegig-abschreiben-18599959.html?GEPC=s9&amp;premium=0x7494819a022a81a9f4a3f62686ef14c0561c950eb4a44415571570d2646fe373</t>
  </si>
  <si>
    <t>Anfängl. Jähliche Tilgung in %</t>
  </si>
  <si>
    <t>https://www.baumeister-online.de/nachricht/bundesrat-stimmt-wachstumschancengesetz-zu-degressive-afa-kommt/</t>
  </si>
  <si>
    <t>Die jährliche (Anfangs-)Tilgung</t>
  </si>
  <si>
    <t xml:space="preserve">Die Tilgung in % p.a. findet sich in der Spalte K des Blatts „Cash &amp; Assets“ </t>
  </si>
  <si>
    <t xml:space="preserve">Wenn man/frau einen besonders langen Finanzierungszeitraum wählt, verringert sich die anfängliche jährliche Tilgung in Prozent. Dafür zahlt dann man/frau entsprechend länger. </t>
  </si>
  <si>
    <t>Den Zusammenhang zwischen Tilgung p.a. und Tilgungsdauer verdeutlicht nachfolgende Tabelle.</t>
  </si>
  <si>
    <t>Tilgungsdauer in Jahren</t>
  </si>
  <si>
    <t xml:space="preserve">bei einer Tilgung von x % p.a. </t>
  </si>
  <si>
    <t>und Zinsen von y % p.a.</t>
  </si>
  <si>
    <t>Annuität  =</t>
  </si>
  <si>
    <t>Zins p.a. + Tilgung p.a.</t>
  </si>
  <si>
    <t>Zins p.a.</t>
  </si>
  <si>
    <t>Man beachte:   Annuität (Höhe der regelmäßigen Zahlung für Zins und Tilgung) bleibt während der gesamten Laufzeit gleich!</t>
  </si>
  <si>
    <t xml:space="preserve">Die jährliche (Anfangs-)Tilgung kann in diesem Modell nicht explizit als Parameter eingeben werden. </t>
  </si>
  <si>
    <t>Die Höhe der Tilgung p.a. in Prozent hängt ab von der gewählten Finanzierungsdauer (Finanzierungszeitraum, siehe Blatt „Parameter“ Zelle B54).</t>
  </si>
  <si>
    <t>Bei einen Finanzierungszeitraum von 32 Jahren ergibt sich eine Tilgung von ca.  zwei Prozent p.a.</t>
  </si>
  <si>
    <t xml:space="preserve">Wählt man/frau z. B. einen Finanzierungszeitraum von 48 Jahren, dann sinkt u.U. die Tilgung p.a. auf ca. ein Prozent (siehe Abb.). </t>
  </si>
  <si>
    <t>Die Berechung der Nach-Steuer-Belastung stellt nur ein WIE-WENN-SZENARIO da.</t>
  </si>
  <si>
    <t>Ein WIE-WENN-SZENARIO stellt lediglich eine Entscheidungshilfe da.</t>
  </si>
  <si>
    <t>https://index.fmh.de/fmh-index/ueberblick/</t>
  </si>
  <si>
    <t>Info zur Zinsentwicklung:</t>
  </si>
  <si>
    <t>Wie die GmbH zur Steuerfalle wird“   von Volker Looman  FAZ  16.02.2023</t>
  </si>
  <si>
    <t>=  Verkehrswert</t>
  </si>
  <si>
    <t>https://www.test.de/Wohnung-als-Kapitalanlage-Rechner-1179772-2179772/</t>
  </si>
  <si>
    <t>Bevor Sie den Rechner benutzen, sollten Sie beachten: Das Programm kann Ihnen eine wichtige Orientierung über den möglichen Verlauf Ihrer Investition und die Rentabilität einer Immobilie geben – aber keine Sicherheit. In die Ergeb­nisse fließen zwangs­läufig unsichere Annahmen vor allem über die Miet­entwick­lung und den künftigen Verkaufs­erlös der Immobilie ein. Schon kleinere Änderungen bei den Prognose­annahmen können die Ergeb­nisse erheblich verändern. Rechnen Sie deshalb immer mehrere Szenarien durch und gehen Sie eher von vorsichtigen Annahmen aus. Rechnet sich die Immobilie nur bei hohen Miet­steigerungen in der Zukunft, handelt es sich letzt­lich um eine spekulative Anlage mit hohem Risiko.</t>
  </si>
  <si>
    <t>https://www.controllingportal.de/Marktplatz/Excel-Tools/Excel-Vorlage-zum-Evaluieren-einer-Immobilien-Investitionen.html</t>
  </si>
  <si>
    <t>Finanzierung mit "Förderkredit"</t>
  </si>
  <si>
    <t>Förderkredithöhe</t>
  </si>
  <si>
    <t>Zugesagte Höhe der Mittel</t>
  </si>
  <si>
    <t>Annuität Förderkredit p.a.</t>
  </si>
  <si>
    <t>Annuität Förderkredit p.m.</t>
  </si>
  <si>
    <t xml:space="preserve"> Investitionsvolumen 
 (ohne Disagio)</t>
  </si>
  <si>
    <t>Förderkredit von:</t>
  </si>
  <si>
    <t>Kredit endet im Jahr</t>
  </si>
  <si>
    <t>Förder-</t>
  </si>
  <si>
    <t>Tilgungs-</t>
  </si>
  <si>
    <t>Förd.kredit</t>
  </si>
  <si>
    <t>Zinsen</t>
  </si>
  <si>
    <t>Förderkredit</t>
  </si>
  <si>
    <t>Hausbank-Kredit</t>
  </si>
  <si>
    <t>https://ivd.net/bundesverband/steuerliche-vorteile-im-wohnungsbau-degressive-afa-sonderabschreibung</t>
  </si>
  <si>
    <t xml:space="preserve"> * Dauer der degressiven Abschreibung: 6 Jahre</t>
  </si>
  <si>
    <t xml:space="preserve"> * Höhe der degressiven AfA: 5 % pro Jahr</t>
  </si>
  <si>
    <t xml:space="preserve">    * Wechsel zur linearen AfA lohnt sich ab dem 7. Jahr oder wenn die lineare AfA (3 %) höher ist als die degressive AfA</t>
  </si>
  <si>
    <t>Finanzierung  über Annuitätendarlehn einer Hausbank</t>
  </si>
  <si>
    <t>Parallel zum ersten Kredit ab dem 1. Jahr</t>
  </si>
  <si>
    <t>Tilgungszuschuss p.a.</t>
  </si>
  <si>
    <t>Summe Tilgungszuschüsse</t>
  </si>
  <si>
    <t>zuschuss</t>
  </si>
  <si>
    <t>kredite</t>
  </si>
  <si>
    <t>(24)</t>
  </si>
  <si>
    <t>(25)</t>
  </si>
  <si>
    <t>(4)+(Tilgung)</t>
  </si>
  <si>
    <t>(26)</t>
  </si>
  <si>
    <t>kumul. Tilgung  (12)</t>
  </si>
  <si>
    <t>(27)</t>
  </si>
  <si>
    <t>(28)</t>
  </si>
  <si>
    <t>Höhe der degressiven AfA: 5 % pro Jahr</t>
  </si>
  <si>
    <t>Dauer der degressiven Abschreibung: 6 Jahre</t>
  </si>
  <si>
    <t>Wechsel zur linearen AfA lohnt sich ab dem 7. Jahr oder wenn die lineare AfA (3 %) höher ist als die degressive AfA.</t>
  </si>
  <si>
    <t>Hier ein konkretes Rechenbeispiel für die degressive AfA im Wohnungsbau:</t>
  </si>
  <si>
    <t>Annahmen:</t>
  </si>
  <si>
    <t>Anschaffungs- oder Herstellungskosten: 400.000 €</t>
  </si>
  <si>
    <t>Baubeginn: 2025 (innerhalb des Förderzeitraums)</t>
  </si>
  <si>
    <t>Degressive AfA: 5 % pro Jahr (für 6 Jahre)</t>
  </si>
  <si>
    <t>Lineare AfA: 3 % pro Jahr (ab dem 7. Jahr oder früher, wenn günstiger)</t>
  </si>
  <si>
    <t>Hinweis:</t>
  </si>
  <si>
    <t>Ab dem 7. Jahr wird die lineare AfA (3 % vom ursprünglichen Wert, also 12.000 € pro Jahr) höher als die degressive AfA (5 % vom Restwert).</t>
  </si>
  <si>
    <t>Ab diesem Zeitpunkt lohnt sich der Wechsel zur linearen AfA, da diese dann einen höheren Abschreibungsbetrag ermöglichtivd.net+2</t>
  </si>
  <si>
    <t>Zusammenfassung:</t>
  </si>
  <si>
    <t>In den ersten 6 Jahren wird degressiv (5 % vom Restwert) abgeschrieben.</t>
  </si>
  <si>
    <t>Ab dem 7. Jahr ist die lineare AfA (3 % von 400.000 € = 12.000 €) günstiger als die degressive AfA (5 % von 294.036,75 € = 14.701,84 €, aber nur noch für 1 Jahr möglich).</t>
  </si>
  <si>
    <t>Der optimale Wechselzeitpunkt ist also nach 6 Jahren degressiver Abschreibung oder sobald die lineare AfA höher ist als die degressive AfA.</t>
  </si>
  <si>
    <t>Hier die erweiterte Beispielrechnung für 400.000 € über 10 Jahre:</t>
  </si>
  <si>
    <t>Erläuterung:</t>
  </si>
  <si>
    <t>In den ersten 6 Jahren ist die degressive AfA höher und wird genutzt.</t>
  </si>
  <si>
    <t>Ab dem 7. Jahr wird auf die lineare AfA gewechselt, da diese dann einen konstanten, höheren Abschreibungsbetrag bietet (12.000 € vs. 14.701,84 € im 7. Jahr, aber nur noch für 1 Jahr möglich).</t>
  </si>
  <si>
    <t>Der Restwert sinkt durch die degressive AfA in den ersten Jahren schneller, was steuerlich vorteilhaft ist</t>
  </si>
  <si>
    <t>Siehe: https://ivd.net/bundesverband/steuerliche-vorteile-im-wohnungsbau-degressive-afa-sonderabschreibung</t>
  </si>
  <si>
    <t xml:space="preserve">Die degressive AfA für den Wohnungsbau beträgt 5 Prozent pro Jahr. Sie kann für Projekte mit Baubeginn zwischen dem 1. Oktober 2023 und dem 30. September 2029 in Anspruch genommen werden. </t>
  </si>
  <si>
    <t>Siehe Information zu AfA  unten im Blatt ab Zeile:  63</t>
  </si>
  <si>
    <t>Kreditbedarf bei Hausbank</t>
  </si>
  <si>
    <t>Kreditbedarf bei Hausbank =
Finanzbedarf  - Förderkredit</t>
  </si>
  <si>
    <t>Anzahl Tilgungszuschüsse (Jahre)</t>
  </si>
  <si>
    <t xml:space="preserve">  &lt;- Klicke auf Zelle &amp; Wähle mit Lasche!</t>
  </si>
  <si>
    <t xml:space="preserve">   Modellrechnung unterstellt zwei aufeinanderfolgenden Hausbankkredite  sowie </t>
  </si>
  <si>
    <t xml:space="preserve">   einen "Förderkredit" parallel zum 1. Hausbankkredit am Anfang des Projektes!</t>
  </si>
  <si>
    <t xml:space="preserve">Falls kein Förderkredit genutzt wird, </t>
  </si>
  <si>
    <t>ist die Höhe der Fördermittel auf Null zu setzen!</t>
  </si>
  <si>
    <t>Werte</t>
  </si>
  <si>
    <t>ggf. manuell</t>
  </si>
  <si>
    <t>eintragen</t>
  </si>
  <si>
    <t>&lt;= Model sieht kein Folge(Förder)kredit vor!</t>
  </si>
  <si>
    <t>Bank-</t>
  </si>
  <si>
    <t>ACHTUNG</t>
  </si>
  <si>
    <t xml:space="preserve">&lt;= Der Förderkredit muss dann komplett getilgt sein! </t>
  </si>
  <si>
    <t>als negative</t>
  </si>
  <si>
    <t>Hausbank-</t>
  </si>
  <si>
    <t>=-(3)+(4)+(5)</t>
  </si>
  <si>
    <t xml:space="preserve"> (6)/Anfangs-</t>
  </si>
  <si>
    <t xml:space="preserve"> Tilgung in %</t>
  </si>
  <si>
    <t>zuschüsse</t>
  </si>
  <si>
    <t>als positive</t>
  </si>
  <si>
    <t>eintragen!</t>
  </si>
  <si>
    <t xml:space="preserve">  in €</t>
  </si>
  <si>
    <t>plus Förderkredit</t>
  </si>
  <si>
    <t>(14)</t>
  </si>
  <si>
    <t xml:space="preserve"> (13)/Anfangs-</t>
  </si>
  <si>
    <t>=-(8)+(9)+(10)</t>
  </si>
  <si>
    <t>(7)*(6)</t>
  </si>
  <si>
    <t>Lade das Excel-File von dort ab und an herunter und schau nach im Blatt "ChangeLog", ob du die aktuelleste Version hast!</t>
  </si>
  <si>
    <t xml:space="preserve"> (15)</t>
  </si>
  <si>
    <t>(29)</t>
  </si>
  <si>
    <t>(29) / Eigenkapital</t>
  </si>
  <si>
    <t>V4.6</t>
  </si>
  <si>
    <t>2025_11_24 Wie muss ein Immobilien-Investor mit Förderkredit rechnen Beta_Version.xlsx</t>
  </si>
  <si>
    <t>Zellen mit "Labels"</t>
  </si>
  <si>
    <t>siehe Menu:  FORMELN &gt; Namensmanager</t>
  </si>
  <si>
    <r>
      <t>Gewährleistung und Restriktionen</t>
    </r>
    <r>
      <rPr>
        <sz val="11"/>
        <rFont val="Arial"/>
        <family val="2"/>
      </rPr>
      <t>  </t>
    </r>
  </si>
  <si>
    <t>Dieses Tool stellt ein Nebenprodukt meiner Tätigkeit in meinem Private Office dar und wurde nicht entwickelt, um es kommerziell zu vermarkten.</t>
  </si>
  <si>
    <t xml:space="preserve">Es handelt sich um eine Modellrechnung (Szenario-Rechnung) und keine Prognose. </t>
  </si>
  <si>
    <t>Das bedeutet, das Ergebnis zeigt lediglich, wie die Belastung(en) aussehen könnte(n), wenn alle die gesetzten Annahmen und Parameter so eintreffen würden.</t>
  </si>
  <si>
    <t>Restschulden insgesamt am Jahresanfang</t>
  </si>
  <si>
    <t>Restschuld Förderkredit am Jahresanfang</t>
  </si>
  <si>
    <t>Restschuld Bankkredit am Jahresanfang</t>
  </si>
  <si>
    <t xml:space="preserve">   p.a. in €</t>
  </si>
  <si>
    <t xml:space="preserve"> (6)+(11)</t>
  </si>
  <si>
    <t>Start</t>
  </si>
  <si>
    <t xml:space="preserve">  = Start bzw.Jahr</t>
  </si>
  <si>
    <t xml:space="preserve">Die degressive Abschreibung ist auf einen Zeitraum von sechs Jahren begrenzt. Ab dem siebten Jahr oder sobald die lineare AfA (derzeit 3 Prozent) höher ist als die degressive AfA, </t>
  </si>
  <si>
    <t>lohnt es sich, auf die lineare Abschreibung zu wechseln, da dann die jährliche Abschreibungsquote höher ausfällt. Also:</t>
  </si>
  <si>
    <t xml:space="preserve">  KALKULATIONSLOGIK </t>
  </si>
  <si>
    <t>evtl. manuell
 eingeben</t>
  </si>
  <si>
    <t xml:space="preserve">   minus  Schuldzinsen (4) und (7)</t>
  </si>
  <si>
    <t xml:space="preserve">   minus AfA insgesamt  (Spalte 20)</t>
  </si>
  <si>
    <t xml:space="preserve">  &lt;- Zins aus dem Förderkreditvertrag</t>
  </si>
  <si>
    <t>Annuität p.a.</t>
  </si>
  <si>
    <t>Finanzierungszeitraum in Jahren</t>
  </si>
  <si>
    <t>Name der Bank</t>
  </si>
  <si>
    <t>Statt eines Förderkredits kann dieser Eingabe-Bereich für einen 2.</t>
  </si>
  <si>
    <t xml:space="preserve">Bankkredit mit unterschiedlichen Konditionen und Laufzeit genutzt </t>
  </si>
  <si>
    <t>werden, der ebenfalls bei Beginn des Projekts startet.</t>
  </si>
  <si>
    <t>Zum Ende der Kreditlaufzeit ist dann dieser Kredit komplett getilgt (NULL)!
Es ist kein Folgekredit möglich!</t>
  </si>
  <si>
    <t>im Blatt "Parameter"  Eingabenfür Förderkredit eingebaut und  Zellen mit Labels aufgeführt, 
im Blatt: Cash &amp; Assets Spalten für Förderkredit eingschoben, 
Übersichtlichkeit verbessert mit mehr leeren Spalten,
Kennzahlenblatt (Restschulden) modiziert,</t>
  </si>
  <si>
    <t>2025_11_28 Wie muss ein Immobilien-Investor mit Förderkredit rechnen.xlsx
bzw.
Wie muss ein Immobilien-Investor mit Förderkredit rechnen.xlsx</t>
  </si>
  <si>
    <t>Im Blatt "Hinweise" Erläuterungen korrigiert und mit Tabelle zur jährlichen (Anfangs-)Tilgung ergänzt, 
im Blatt "Parameter" Zellen mit Labels aufgeführt
Cash &amp; Asstes mit leeren Spalten zur Verbesserung des Layouts</t>
  </si>
  <si>
    <t>2025_11_21 Wie muss ein Immobilien-Investor.xlsx
bzw.
Wie muss ein Immobilien-Investor rechnen.xlsx</t>
  </si>
  <si>
    <t>V4.5</t>
  </si>
  <si>
    <t>Kalkualtion der Rendite in Spalte AA korrigiert  = Yn +Jn
Berechnung des "Mittel-Überschusses bei hypoth. Verkauf" (Blatt Kennzahlen, Zelle N16) und Link auf Download-Website korrigiert</t>
  </si>
  <si>
    <t>2025_04_06 Wie muss ein Immobilien-Investor.xlsx
bzw.
Wie muss ein Immobilien-Investor rechnen.xlsx</t>
  </si>
  <si>
    <t>V4.4</t>
  </si>
  <si>
    <t>Fehlerkorrektur: Instandhaltungskosten am Anfang (Parameter-Blatt Zeile 14) weden jetzt in der Cash&amp;Assets-Kalkulation reflektiert  (in Zelle L8)</t>
  </si>
  <si>
    <t>2025_01_27 Wie muss ein Immobilien-Investor.xlsx
bzw.
Wie muss ein Immobilien-Investor rechnen.xlsx</t>
  </si>
  <si>
    <t>V4.3</t>
  </si>
  <si>
    <t xml:space="preserve">Im Parameter-Blatt  (Zelle B55 ) sowie im Hinweise-Blatt (ab Zeile 92) Info. zur anfänglichen jährlichen Tilgung eingefügt! </t>
  </si>
  <si>
    <t>2024_06_26 Wie muss ein Immobilien-Investor.xlsx
bzw.
Wie muss ein Immobilien-Investor rechnen.xlsx</t>
  </si>
  <si>
    <t>V4.2</t>
  </si>
  <si>
    <t>Die vergessene Korrektur des Rechenfehler für den Gewinn aus V+V beseitigt, 
die Formel ist jetzt so, wie in der Beschreibung der Kalkulationslogik (dort war die Logik korrekt)</t>
  </si>
  <si>
    <t>2024_05_05 Wie muss ein Immobilien-Investor.xlsx
bzw.
Wie muss ein Immobilien-Investor rechnen.xlsx</t>
  </si>
  <si>
    <t>V4.1</t>
  </si>
  <si>
    <t>AfA als "Negativer Wert" in "Cash &amp; Asset Blatt" eingeführt, da AfA Aufwand (aber keine Mittelabfluss) bedeutet
Erläuterung zur Berechungen (Kalkulationslogik) des zu versteuernden Gewinn im Blatt "Cash &amp; Assets" hinzugefügt</t>
  </si>
  <si>
    <t>2024_04_24 Wie muss ein Immobilien-Investor.xlsx
bzw.
Wie muss ein Immobilien-Investor rechnen.xlsx</t>
  </si>
  <si>
    <t>V4.0</t>
  </si>
  <si>
    <t>Neu eingeführt: 
Diverse (anpassungsfähige) AfA Varianten in der
AfA Tabelle (zum Anpassen)
Spalte für Sonder-AfA
Spalte für Sondertilgung</t>
  </si>
  <si>
    <t xml:space="preserve">2024_04_14 Wie muss ein Immobilien-Investor mit Degr AfA rechnen.xlsx
</t>
  </si>
  <si>
    <t>V3.3</t>
  </si>
  <si>
    <t>AfA Varianten eingeführt:  Linear mit 2% oder 3%
und 
Degresiiv Linear mit 5 % in den ersten sechs Jahren und danach 3 % p.a.</t>
  </si>
  <si>
    <t>2024_04_10 Wie-muss-ein-Immobilien_Investor mit Degr AfA rechnen.xlsx</t>
  </si>
  <si>
    <t>V3.2</t>
  </si>
  <si>
    <t>Zusammenführung der Blätter "Cash" und "Assets" in ein Blatt "Cash &amp; Assets"
Eigenkapialrendite-Rechnung angefügt</t>
  </si>
  <si>
    <t>2021-08-10 Wie muss ein Immobilien-Investor rechnen.xlsx</t>
  </si>
  <si>
    <t>V3.1</t>
  </si>
  <si>
    <t>Korrektur der AFA-Basis:
Erwerbsnebenkosten werden anteilig auf das Gebäude angerechnet und aktiviert und über die Lebendauer abgeschrieben.</t>
  </si>
  <si>
    <t>2021-08-08 Wie muss ein Immobilien-Investor rechnen.xlsx</t>
  </si>
  <si>
    <t>V3.0</t>
  </si>
  <si>
    <t>Ergänzungen bei Parameter-Eingaben, 
Konsistenz bei Cash &amp; Assets herbeigeführt damit immer:
(+) ist Mittelzufluss / Ertrag
(-) ist Mittelabfluss / Aufwand</t>
  </si>
  <si>
    <t>2021-06-28 Wie muss ein Immobilien-Investor rechnen.xlsx</t>
  </si>
  <si>
    <t>V2.0</t>
  </si>
  <si>
    <t>Überarbeitung, Graphiken &amp; Kennzahlen-Blatt hinzugefügt</t>
  </si>
  <si>
    <t>2014-06-22  Was werfen Immobilien ab.xlsx</t>
  </si>
  <si>
    <t>V1.0</t>
  </si>
  <si>
    <t>Diverse Updates &amp; Verfeinerungen</t>
  </si>
  <si>
    <t>2010-10-14  Was werfen Immobilien ab.xlsx</t>
  </si>
  <si>
    <t>Inital Version</t>
  </si>
  <si>
    <t>vor 2000</t>
  </si>
  <si>
    <t>V 4.7</t>
  </si>
  <si>
    <t>V 5.0</t>
  </si>
  <si>
    <t>Release für Publikation in Controllingportal.de</t>
  </si>
  <si>
    <t>Siehe auch:</t>
  </si>
  <si>
    <t>Wie funktioniert die degressive AfA?</t>
  </si>
  <si>
    <t>https://immo-geek.com/de/wissen/rechner/degressive-afa</t>
  </si>
  <si>
    <t xml:space="preserve">  &lt;- Betrag p.a. aus dem Förderkreditvertrag</t>
  </si>
  <si>
    <t xml:space="preserve">  &lt;- Anzahl aus dem Förderkreditvertrag</t>
  </si>
  <si>
    <t xml:space="preserve"> + Tilg.zuschuss</t>
  </si>
  <si>
    <t>V 5.1</t>
  </si>
  <si>
    <t>- Gesamtinvestition (= FremdKap.  + EK)</t>
  </si>
  <si>
    <t xml:space="preserve"> + (8) + (10)  =</t>
  </si>
  <si>
    <t>Ladengeschäft,  Musterstraße 123, 45678 Irgendwo</t>
  </si>
  <si>
    <t>Eigenkapital drin</t>
  </si>
  <si>
    <t>dann ist das</t>
  </si>
  <si>
    <t>noch nicht</t>
  </si>
  <si>
    <t>erwirtschaftet</t>
  </si>
  <si>
    <t>investierte</t>
  </si>
  <si>
    <t>wenn Wert negativ</t>
  </si>
  <si>
    <t>insg. p.a.</t>
  </si>
  <si>
    <t>Rest-</t>
  </si>
  <si>
    <t xml:space="preserve"> (1)+(6)</t>
  </si>
  <si>
    <t>Mietpreis für Nutzfläche pro m²</t>
  </si>
  <si>
    <t>schulden</t>
  </si>
  <si>
    <t xml:space="preserve"> Tilgungen</t>
  </si>
  <si>
    <t xml:space="preserve"> p.a. </t>
  </si>
  <si>
    <t xml:space="preserve"> Tilgungen </t>
  </si>
  <si>
    <t xml:space="preserve"> (13) </t>
  </si>
  <si>
    <t xml:space="preserve"> kumuliert</t>
  </si>
  <si>
    <t xml:space="preserve"> (16)</t>
  </si>
  <si>
    <t>(29)/Investment</t>
  </si>
  <si>
    <t>(30)</t>
  </si>
  <si>
    <t xml:space="preserve"> Inventment von</t>
  </si>
  <si>
    <t xml:space="preserve"> bezogen auf</t>
  </si>
  <si>
    <t xml:space="preserve"> Überschuss in % </t>
  </si>
  <si>
    <t>in %  v. Investmt.</t>
  </si>
  <si>
    <t>aus Überschuss</t>
  </si>
  <si>
    <t>bei einem Verkauf</t>
  </si>
  <si>
    <t xml:space="preserve"> (17)</t>
  </si>
  <si>
    <t>= -(19)*</t>
  </si>
  <si>
    <t>(20)= -(19)*</t>
  </si>
  <si>
    <t>(21)+(20)</t>
  </si>
  <si>
    <t>=(23 aus Vor-</t>
  </si>
  <si>
    <t xml:space="preserve"> jahr) - (22)</t>
  </si>
  <si>
    <t>(18)+(4)+(8)+(17)+</t>
  </si>
  <si>
    <t>+(22) - Disagio</t>
  </si>
  <si>
    <t xml:space="preserve">  (24) *</t>
  </si>
  <si>
    <t>(18)+(17)+(3)+(5)+</t>
  </si>
  <si>
    <t>(26)+(27)</t>
  </si>
  <si>
    <t>kumu. Cash Flow (29)</t>
  </si>
  <si>
    <t>(31)</t>
  </si>
  <si>
    <t>(15)+(30)</t>
  </si>
  <si>
    <t>Grundstücks-</t>
  </si>
  <si>
    <t>wert</t>
  </si>
  <si>
    <t>Gebäude- und</t>
  </si>
  <si>
    <t>(32)</t>
  </si>
  <si>
    <t>2025_12_11 Wie muss ein Immobilien-Investor mit Förderkredit rechnen.xlsx
bzw.
Wie muss ein Immobilien-Investor mit Förderkredit rechnen.xlsx</t>
  </si>
  <si>
    <t>GRUPPIERUNG BEACHTEN</t>
  </si>
  <si>
    <t xml:space="preserve">  Der zu versteuernder Gewinn (24)</t>
  </si>
  <si>
    <t xml:space="preserve">   Miete  (18)  </t>
  </si>
  <si>
    <t xml:space="preserve">   minus  Unterhalts- und Betriebskosten (17) </t>
  </si>
  <si>
    <t xml:space="preserve">Die Formel für den zu versteuernden Gewinn im ersten Jahr (Zelle AE8) </t>
  </si>
  <si>
    <t>lautet: AE8 = Y8+X8+G8+O9+AC8-Disagio</t>
  </si>
  <si>
    <t xml:space="preserve">Deshalb findet sich in der Formel in Zelle: AE8 „-Disagio“ (im 1. Jahr) </t>
  </si>
  <si>
    <t>im Gegensatz nur Formel in Zelle: AE9 (im 2. Jahr)</t>
  </si>
  <si>
    <t>Ab dem zweiten Jahr lautet die Formel: AE9 = Y9+X9+G9+O9+AC9</t>
  </si>
  <si>
    <r>
      <t xml:space="preserve">                                                                  bzw.  </t>
    </r>
    <r>
      <rPr>
        <sz val="11"/>
        <rFont val="Calibri"/>
        <family val="2"/>
      </rPr>
      <t>(AE</t>
    </r>
    <r>
      <rPr>
        <vertAlign val="subscript"/>
        <sz val="11"/>
        <color rgb="FF000000"/>
        <rFont val="Calibri"/>
        <family val="2"/>
      </rPr>
      <t>n</t>
    </r>
    <r>
      <rPr>
        <sz val="11"/>
        <color rgb="FF000000"/>
        <rFont val="Calibri"/>
        <family val="2"/>
      </rPr>
      <t>)  =  + (-Y</t>
    </r>
    <r>
      <rPr>
        <vertAlign val="subscript"/>
        <sz val="11"/>
        <color rgb="FF000000"/>
        <rFont val="Calibri"/>
        <family val="2"/>
      </rPr>
      <t>n</t>
    </r>
    <r>
      <rPr>
        <sz val="11"/>
        <color rgb="FF000000"/>
        <rFont val="Calibri"/>
        <family val="2"/>
      </rPr>
      <t>)  + (-X</t>
    </r>
    <r>
      <rPr>
        <vertAlign val="subscript"/>
        <sz val="11"/>
        <color rgb="FF000000"/>
        <rFont val="Calibri"/>
        <family val="2"/>
      </rPr>
      <t>n</t>
    </r>
    <r>
      <rPr>
        <sz val="11"/>
        <color rgb="FF000000"/>
        <rFont val="Calibri"/>
        <family val="2"/>
      </rPr>
      <t>)  +  (-G</t>
    </r>
    <r>
      <rPr>
        <vertAlign val="subscript"/>
        <sz val="11"/>
        <color rgb="FF000000"/>
        <rFont val="Calibri"/>
        <family val="2"/>
      </rPr>
      <t>n</t>
    </r>
    <r>
      <rPr>
        <sz val="11"/>
        <color rgb="FF000000"/>
        <rFont val="Calibri"/>
        <family val="2"/>
      </rPr>
      <t>) + (-O</t>
    </r>
    <r>
      <rPr>
        <vertAlign val="subscript"/>
        <sz val="11"/>
        <color rgb="FF000000"/>
        <rFont val="Calibri"/>
        <family val="2"/>
      </rPr>
      <t>n</t>
    </r>
    <r>
      <rPr>
        <sz val="11"/>
        <color rgb="FF000000"/>
        <rFont val="Calibri"/>
        <family val="2"/>
      </rPr>
      <t>)  + (-AC</t>
    </r>
    <r>
      <rPr>
        <vertAlign val="subscript"/>
        <sz val="11"/>
        <color rgb="FF000000"/>
        <rFont val="Calibri"/>
        <family val="2"/>
      </rPr>
      <t>n</t>
    </r>
    <r>
      <rPr>
        <sz val="11"/>
        <color rgb="FF000000"/>
        <rFont val="Calibri"/>
        <family val="2"/>
      </rPr>
      <t>)</t>
    </r>
  </si>
  <si>
    <r>
      <t>ist die Formel  (AEn)  =  + (-Yn)  + (-Xn)  +  (-Gn) + (-On)  + (-ACn)    das Äquivalent von  AE</t>
    </r>
    <r>
      <rPr>
        <vertAlign val="subscript"/>
        <sz val="11"/>
        <color rgb="FF000000"/>
        <rFont val="Calibri"/>
        <family val="2"/>
      </rPr>
      <t>n</t>
    </r>
    <r>
      <rPr>
        <sz val="11"/>
        <color rgb="FF000000"/>
        <rFont val="Calibri"/>
        <family val="2"/>
      </rPr>
      <t xml:space="preserve"> = Y</t>
    </r>
    <r>
      <rPr>
        <vertAlign val="subscript"/>
        <sz val="11"/>
        <color rgb="FF000000"/>
        <rFont val="Calibri"/>
        <family val="2"/>
      </rPr>
      <t>n</t>
    </r>
    <r>
      <rPr>
        <sz val="11"/>
        <color rgb="FF000000"/>
        <rFont val="Calibri"/>
        <family val="2"/>
      </rPr>
      <t xml:space="preserve"> –X</t>
    </r>
    <r>
      <rPr>
        <vertAlign val="subscript"/>
        <sz val="11"/>
        <color rgb="FF000000"/>
        <rFont val="Calibri"/>
        <family val="2"/>
      </rPr>
      <t>n</t>
    </r>
    <r>
      <rPr>
        <sz val="11"/>
        <color rgb="FF000000"/>
        <rFont val="Calibri"/>
        <family val="2"/>
      </rPr>
      <t xml:space="preserve"> – G</t>
    </r>
    <r>
      <rPr>
        <vertAlign val="subscript"/>
        <sz val="11"/>
        <color rgb="FF000000"/>
        <rFont val="Calibri"/>
        <family val="2"/>
      </rPr>
      <t>n  </t>
    </r>
    <r>
      <rPr>
        <sz val="11"/>
        <color rgb="FF000000"/>
        <rFont val="Calibri"/>
        <family val="2"/>
      </rPr>
      <t> –O</t>
    </r>
    <r>
      <rPr>
        <vertAlign val="subscript"/>
        <sz val="11"/>
        <color rgb="FF000000"/>
        <rFont val="Calibri"/>
        <family val="2"/>
      </rPr>
      <t>n    </t>
    </r>
    <r>
      <rPr>
        <sz val="10"/>
        <color rgb="FF000000"/>
        <rFont val="Calibri"/>
        <family val="2"/>
      </rPr>
      <t>–AC</t>
    </r>
    <r>
      <rPr>
        <vertAlign val="subscript"/>
        <sz val="10"/>
        <color rgb="FF000000"/>
        <rFont val="Calibri"/>
        <family val="2"/>
      </rPr>
      <t>n</t>
    </r>
  </si>
  <si>
    <t>da steckt auch</t>
  </si>
  <si>
    <t>Bereiche, die weniger häufig genutzt werden, ein- und ausblenden!  Siehe Abb:</t>
  </si>
  <si>
    <t>Brutto-Mietrendite p.a. bezogen auf Investment [ &gt; 5% für Geschäftsmiete anstreben]</t>
  </si>
  <si>
    <t xml:space="preserve">  &lt;- Annuität aus dem Förderkreditvetrag (aufs Jahr gerechnet)</t>
  </si>
  <si>
    <t xml:space="preserve">  angenommene Brutto-Rendite alternativer Anlagen z.B. Aktien</t>
  </si>
  <si>
    <t xml:space="preserve">   für Vergleich mit alternativen Kapitalanlagen (Netto-Rendite)</t>
  </si>
  <si>
    <t>ein- und ausblenden!  Siehe Abb:</t>
  </si>
  <si>
    <t xml:space="preserve">- Gesamtinvestition </t>
  </si>
  <si>
    <t>incl. Förder-
zuschuss</t>
  </si>
  <si>
    <r>
      <t xml:space="preserve">Im Blatt "Cash &amp; Assets" lassen sich durch Anklicken von </t>
    </r>
    <r>
      <rPr>
        <b/>
        <sz val="12"/>
        <color rgb="FF000000"/>
        <rFont val="Verdana"/>
        <family val="2"/>
      </rPr>
      <t>[1]</t>
    </r>
    <r>
      <rPr>
        <sz val="12"/>
        <color indexed="8"/>
        <rFont val="Verdana"/>
        <family val="2"/>
      </rPr>
      <t xml:space="preserve"> bzw.</t>
    </r>
    <r>
      <rPr>
        <b/>
        <sz val="12"/>
        <color rgb="FF000000"/>
        <rFont val="Verdana"/>
        <family val="2"/>
      </rPr>
      <t xml:space="preserve"> [2] oder [-] </t>
    </r>
    <r>
      <rPr>
        <sz val="12"/>
        <color indexed="8"/>
        <rFont val="Verdana"/>
        <family val="2"/>
      </rPr>
      <t>bzw.</t>
    </r>
    <r>
      <rPr>
        <b/>
        <sz val="12"/>
        <color rgb="FF000000"/>
        <rFont val="Verdana"/>
        <family val="2"/>
      </rPr>
      <t xml:space="preserve"> [+]</t>
    </r>
  </si>
  <si>
    <r>
      <t>Durch Anklicken von</t>
    </r>
    <r>
      <rPr>
        <b/>
        <sz val="11"/>
        <color rgb="FF000000"/>
        <rFont val="Verdana"/>
        <family val="2"/>
      </rPr>
      <t xml:space="preserve"> [1] </t>
    </r>
    <r>
      <rPr>
        <sz val="11"/>
        <color indexed="8"/>
        <rFont val="Verdana"/>
        <family val="2"/>
      </rPr>
      <t xml:space="preserve">bzw. </t>
    </r>
    <r>
      <rPr>
        <b/>
        <sz val="11"/>
        <color rgb="FF000000"/>
        <rFont val="Verdana"/>
        <family val="2"/>
      </rPr>
      <t xml:space="preserve">[2] oder [-]  </t>
    </r>
    <r>
      <rPr>
        <sz val="11"/>
        <color indexed="8"/>
        <rFont val="Verdana"/>
        <family val="2"/>
      </rPr>
      <t>bzw.</t>
    </r>
    <r>
      <rPr>
        <b/>
        <sz val="11"/>
        <color rgb="FF000000"/>
        <rFont val="Verdana"/>
        <family val="2"/>
      </rPr>
      <t xml:space="preserve"> [+]</t>
    </r>
  </si>
  <si>
    <t>lassen sich Bereiche, die weniger häufig genutzt werden,</t>
  </si>
  <si>
    <t>In Kennzahlen :  N22 korrigiert, 
in Cash&amp; Assets:  
  Spalte U und V hinzugefügt,
  Spalten "AI", "AT", "AY" korrigiert,
  Gruppierung eingeführt, zum Wegklappen von Bereichen</t>
  </si>
  <si>
    <t>Mit dem Modell läßt sich veranschaulichen, wie sich unterschiedliche Annahmen auswirken</t>
  </si>
  <si>
    <t>und was Parameter-Änderungen bedeuten können.</t>
  </si>
  <si>
    <t>Wie muss ein Immobilien-Investor rechnen?</t>
  </si>
  <si>
    <t>Jährliche  Rendite</t>
  </si>
  <si>
    <t>nach Steuer  in %</t>
  </si>
  <si>
    <t>ausgwälte Kennzahlen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</si>
</sst>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0.00\ &quot;€&quot;_-;\-* #,##0.00\ &quot;€&quot;_-;_-* &quot;-&quot;??\ &quot;€&quot;_-;_-@_-"/>
    <numFmt numFmtId="164" formatCode="_-* #,##0.00\ _€_-;\-* #,##0.00\ _€_-;_-* &quot;-&quot;??\ _€_-;_-@_-"/>
    <numFmt numFmtId="165" formatCode="General;\-General"/>
    <numFmt numFmtId="166" formatCode="dd/mm/yy"/>
    <numFmt numFmtId="167" formatCode="#,##0.00\ [$€-407];\-#,##0.00\ [$€-407]"/>
    <numFmt numFmtId="168" formatCode="[$€-1]#,##0.00"/>
    <numFmt numFmtId="169" formatCode="#,##0.00\ [$€-407];[Red]\-#,##0.00\ [$€-407]"/>
    <numFmt numFmtId="170" formatCode="#,##0\ [$€-407];\-#,##0\ [$€-407]"/>
    <numFmt numFmtId="171" formatCode="0.0%"/>
    <numFmt numFmtId="172" formatCode="_-* #,##0.00\ [$€-407]_-;\-* #,##0.00\ [$€-407]_-;_-* &quot;-&quot;??\ [$€-407]_-;_-@_-"/>
    <numFmt numFmtId="173" formatCode="_-* #,##0\ [$€-407]_-;\-* #,##0\ [$€-407]_-;_-* &quot;-&quot;??\ [$€-407]_-;_-@_-"/>
    <numFmt numFmtId="174" formatCode="_-* #,##0&quot; €&quot;_-;\-* #,##0&quot; €&quot;_-;_-* \-??&quot; €&quot;_-;_-@_-"/>
    <numFmt numFmtId="175" formatCode="#,##0.0\ &quot;m²&quot;"/>
    <numFmt numFmtId="176" formatCode="_-* #,##0\ &quot;€&quot;_-;\-* #,##0\ &quot;€&quot;_-;_-* &quot;-&quot;??\ &quot;€&quot;_-;_-@_-"/>
    <numFmt numFmtId="177" formatCode="_-* #,##0.0\ _€_-;\-* #,##0.0\ _€_-;_-* &quot;-&quot;??\ _€_-;_-@_-"/>
    <numFmt numFmtId="178" formatCode="#,##0\ [$€-407]"/>
    <numFmt numFmtId="179" formatCode="0.00\ %"/>
  </numFmts>
  <fonts count="99">
    <font>
      <sz val="10"/>
      <name val="Arial"/>
      <family val="2"/>
    </font>
    <font>
      <sz val="11"/>
      <color theme="1"/>
      <name val="Calibri"/>
      <family val="2"/>
      <scheme val="minor"/>
    </font>
    <font>
      <b/>
      <sz val="10"/>
      <name val="Arial"/>
      <family val="2"/>
    </font>
    <font>
      <sz val="12"/>
      <name val="Arial"/>
      <family val="2"/>
    </font>
    <font>
      <sz val="10"/>
      <name val="Arial"/>
      <family val="2"/>
    </font>
    <font>
      <sz val="9"/>
      <color indexed="81"/>
      <name val="Tahoma"/>
      <family val="2"/>
    </font>
    <font>
      <b/>
      <sz val="9"/>
      <color indexed="81"/>
      <name val="Tahoma"/>
      <family val="2"/>
    </font>
    <font>
      <sz val="10"/>
      <color indexed="8"/>
      <name val="Arial MT"/>
      <family val="2"/>
    </font>
    <font>
      <sz val="9"/>
      <name val="Arial"/>
      <family val="2"/>
    </font>
    <font>
      <u/>
      <sz val="10"/>
      <color theme="10"/>
      <name val="Arial"/>
      <family val="2"/>
    </font>
    <font>
      <sz val="11"/>
      <color theme="0"/>
      <name val="Calibri"/>
      <family val="2"/>
      <scheme val="minor"/>
    </font>
    <font>
      <sz val="11"/>
      <name val="Verdana"/>
      <family val="2"/>
    </font>
    <font>
      <sz val="10"/>
      <name val="Verdana"/>
      <family val="2"/>
    </font>
    <font>
      <b/>
      <sz val="11"/>
      <name val="Verdana"/>
      <family val="2"/>
    </font>
    <font>
      <b/>
      <sz val="12"/>
      <color indexed="8"/>
      <name val="Verdana"/>
      <family val="2"/>
    </font>
    <font>
      <b/>
      <sz val="10"/>
      <color theme="0"/>
      <name val="Calibri"/>
      <family val="2"/>
      <scheme val="minor"/>
    </font>
    <font>
      <sz val="10"/>
      <color theme="1"/>
      <name val="Calibri"/>
      <family val="2"/>
      <scheme val="minor"/>
    </font>
    <font>
      <sz val="10"/>
      <color theme="0" tint="-0.499984740745262"/>
      <name val="Calibri"/>
      <family val="2"/>
      <scheme val="minor"/>
    </font>
    <font>
      <sz val="11"/>
      <color rgb="FF0070C0"/>
      <name val="Verdana"/>
      <family val="2"/>
    </font>
    <font>
      <b/>
      <sz val="11"/>
      <color indexed="8"/>
      <name val="Verdana"/>
      <family val="2"/>
    </font>
    <font>
      <sz val="10"/>
      <name val="Calibri"/>
      <family val="2"/>
      <scheme val="minor"/>
    </font>
    <font>
      <b/>
      <sz val="11"/>
      <color theme="0"/>
      <name val="Verdana"/>
      <family val="2"/>
    </font>
    <font>
      <sz val="11"/>
      <color theme="0"/>
      <name val="Verdana"/>
      <family val="2"/>
    </font>
    <font>
      <b/>
      <sz val="18"/>
      <color indexed="8"/>
      <name val="Verdana"/>
      <family val="2"/>
    </font>
    <font>
      <sz val="12"/>
      <color indexed="8"/>
      <name val="Verdana"/>
      <family val="2"/>
    </font>
    <font>
      <b/>
      <i/>
      <sz val="12"/>
      <color indexed="8"/>
      <name val="Verdana"/>
      <family val="2"/>
    </font>
    <font>
      <b/>
      <sz val="14"/>
      <color indexed="8"/>
      <name val="Verdana"/>
      <family val="2"/>
    </font>
    <font>
      <u/>
      <sz val="12"/>
      <color theme="10"/>
      <name val="Verdana"/>
      <family val="2"/>
    </font>
    <font>
      <b/>
      <i/>
      <sz val="12"/>
      <color indexed="39"/>
      <name val="Verdana"/>
      <family val="2"/>
    </font>
    <font>
      <b/>
      <sz val="11"/>
      <color theme="0"/>
      <name val="Calibri"/>
      <family val="2"/>
      <scheme val="minor"/>
    </font>
    <font>
      <i/>
      <sz val="12"/>
      <color indexed="8"/>
      <name val="Verdana"/>
      <family val="2"/>
    </font>
    <font>
      <i/>
      <sz val="12"/>
      <name val="Verdana"/>
      <family val="2"/>
    </font>
    <font>
      <u/>
      <sz val="11"/>
      <color theme="10"/>
      <name val="Arial"/>
      <family val="2"/>
    </font>
    <font>
      <sz val="9"/>
      <color indexed="81"/>
      <name val="Segoe UI"/>
      <family val="2"/>
    </font>
    <font>
      <b/>
      <sz val="9"/>
      <color indexed="81"/>
      <name val="Segoe UI"/>
      <family val="2"/>
    </font>
    <font>
      <b/>
      <sz val="11"/>
      <name val="Arial"/>
      <family val="2"/>
    </font>
    <font>
      <b/>
      <sz val="12"/>
      <name val="Verdana"/>
      <family val="2"/>
    </font>
    <font>
      <sz val="12"/>
      <name val="Verdana"/>
      <family val="2"/>
    </font>
    <font>
      <b/>
      <sz val="16"/>
      <color indexed="8"/>
      <name val="Verdana"/>
      <family val="2"/>
    </font>
    <font>
      <sz val="12"/>
      <color theme="10"/>
      <name val="Verdana"/>
      <family val="2"/>
    </font>
    <font>
      <sz val="12"/>
      <color indexed="8"/>
      <name val="Calibri"/>
      <family val="2"/>
    </font>
    <font>
      <sz val="12"/>
      <color indexed="8"/>
      <name val="Arial MT"/>
      <family val="2"/>
    </font>
    <font>
      <b/>
      <sz val="10"/>
      <name val="Calibri"/>
      <family val="2"/>
      <scheme val="minor"/>
    </font>
    <font>
      <b/>
      <sz val="11"/>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sz val="10"/>
      <color indexed="8"/>
      <name val="Calibri"/>
      <family val="2"/>
      <scheme val="minor"/>
    </font>
    <font>
      <sz val="11"/>
      <name val="Calibri"/>
      <family val="2"/>
      <scheme val="minor"/>
    </font>
    <font>
      <sz val="11"/>
      <color indexed="12"/>
      <name val="Calibri"/>
      <family val="2"/>
      <scheme val="minor"/>
    </font>
    <font>
      <i/>
      <sz val="11"/>
      <color indexed="8"/>
      <name val="Calibri"/>
      <family val="2"/>
      <scheme val="minor"/>
    </font>
    <font>
      <b/>
      <sz val="12"/>
      <color indexed="8"/>
      <name val="Calibri"/>
      <family val="2"/>
      <scheme val="minor"/>
    </font>
    <font>
      <sz val="11"/>
      <color indexed="8"/>
      <name val="Arial MT"/>
      <family val="2"/>
    </font>
    <font>
      <b/>
      <u/>
      <sz val="9"/>
      <color indexed="81"/>
      <name val="Tahoma"/>
      <family val="2"/>
    </font>
    <font>
      <b/>
      <i/>
      <u/>
      <sz val="10"/>
      <name val="Verdana"/>
      <family val="2"/>
    </font>
    <font>
      <sz val="14"/>
      <color indexed="8"/>
      <name val="Verdana"/>
      <family val="2"/>
    </font>
    <font>
      <b/>
      <sz val="11"/>
      <color rgb="FF000000"/>
      <name val="Calibri"/>
      <family val="2"/>
      <charset val="1"/>
    </font>
    <font>
      <b/>
      <sz val="11"/>
      <name val="Calibri"/>
      <family val="2"/>
      <charset val="1"/>
    </font>
    <font>
      <sz val="11"/>
      <color rgb="FF000000"/>
      <name val="Calibri"/>
      <family val="2"/>
      <charset val="1"/>
    </font>
    <font>
      <sz val="11"/>
      <color rgb="FF000000"/>
      <name val="Arial MT"/>
      <family val="2"/>
      <charset val="1"/>
    </font>
    <font>
      <sz val="11"/>
      <name val="Calibri"/>
      <family val="2"/>
      <charset val="1"/>
    </font>
    <font>
      <sz val="11"/>
      <color rgb="FF000000"/>
      <name val="Calibri"/>
      <family val="2"/>
    </font>
    <font>
      <sz val="11"/>
      <name val="Verdana"/>
      <family val="2"/>
      <charset val="1"/>
    </font>
    <font>
      <b/>
      <sz val="18"/>
      <name val="Arial"/>
      <family val="2"/>
    </font>
    <font>
      <b/>
      <sz val="10"/>
      <name val="Verdana"/>
      <family val="2"/>
    </font>
    <font>
      <b/>
      <sz val="11"/>
      <color rgb="FFFF0000"/>
      <name val="Verdana"/>
      <family val="2"/>
    </font>
    <font>
      <b/>
      <sz val="10"/>
      <color rgb="FFFF0000"/>
      <name val="Verdana"/>
      <family val="2"/>
    </font>
    <font>
      <b/>
      <sz val="16"/>
      <name val="Arial"/>
      <family val="2"/>
    </font>
    <font>
      <sz val="8"/>
      <color indexed="8"/>
      <name val="Calibri"/>
      <family val="2"/>
      <scheme val="minor"/>
    </font>
    <font>
      <b/>
      <sz val="8"/>
      <color indexed="8"/>
      <name val="Calibri"/>
      <family val="2"/>
      <scheme val="minor"/>
    </font>
    <font>
      <b/>
      <sz val="14"/>
      <color indexed="8"/>
      <name val="Calibri"/>
      <family val="2"/>
      <scheme val="minor"/>
    </font>
    <font>
      <b/>
      <sz val="14"/>
      <name val="Arial"/>
      <family val="2"/>
    </font>
    <font>
      <b/>
      <sz val="12"/>
      <color rgb="FF000000"/>
      <name val="Calibri"/>
      <family val="2"/>
    </font>
    <font>
      <sz val="11"/>
      <name val="Calibri"/>
      <family val="2"/>
    </font>
    <font>
      <b/>
      <sz val="11"/>
      <name val="Calibri"/>
      <family val="2"/>
    </font>
    <font>
      <vertAlign val="subscript"/>
      <sz val="11"/>
      <color rgb="FF000000"/>
      <name val="Calibri"/>
      <family val="2"/>
    </font>
    <font>
      <b/>
      <sz val="12"/>
      <color rgb="FFFF0000"/>
      <name val="Verdana"/>
      <family val="2"/>
    </font>
    <font>
      <sz val="12"/>
      <name val="Times New Roman"/>
      <family val="1"/>
    </font>
    <font>
      <b/>
      <sz val="12"/>
      <name val="Arial"/>
      <family val="2"/>
    </font>
    <font>
      <b/>
      <i/>
      <sz val="12"/>
      <name val="Arial"/>
      <family val="2"/>
    </font>
    <font>
      <b/>
      <sz val="24"/>
      <name val="Arial"/>
      <family val="2"/>
    </font>
    <font>
      <sz val="12"/>
      <color indexed="8"/>
      <name val="Arial"/>
      <family val="2"/>
    </font>
    <font>
      <u/>
      <sz val="12"/>
      <color theme="10"/>
      <name val="Arial"/>
      <family val="2"/>
    </font>
    <font>
      <b/>
      <sz val="18"/>
      <name val="Calibri"/>
      <family val="2"/>
      <scheme val="minor"/>
    </font>
    <font>
      <sz val="12"/>
      <name val="Calibri"/>
      <family val="2"/>
    </font>
    <font>
      <b/>
      <sz val="12"/>
      <name val="Calibri"/>
      <family val="2"/>
    </font>
    <font>
      <b/>
      <i/>
      <sz val="12"/>
      <name val="Verdana"/>
      <family val="2"/>
    </font>
    <font>
      <b/>
      <sz val="11"/>
      <color theme="9" tint="0.79998168889431442"/>
      <name val="Calibri"/>
      <family val="2"/>
      <scheme val="minor"/>
    </font>
    <font>
      <b/>
      <u/>
      <sz val="11"/>
      <color theme="10"/>
      <name val="Arial"/>
      <family val="2"/>
    </font>
    <font>
      <sz val="10"/>
      <color rgb="FF000000"/>
      <name val="Calibri"/>
      <family val="2"/>
    </font>
    <font>
      <b/>
      <sz val="14"/>
      <name val="Verdana"/>
      <family val="2"/>
    </font>
    <font>
      <sz val="11"/>
      <name val="Arial"/>
      <family val="2"/>
    </font>
    <font>
      <b/>
      <sz val="10"/>
      <color theme="1"/>
      <name val="Calibri"/>
      <family val="2"/>
      <scheme val="minor"/>
    </font>
    <font>
      <vertAlign val="subscript"/>
      <sz val="10"/>
      <color rgb="FF000000"/>
      <name val="Calibri"/>
      <family val="2"/>
    </font>
    <font>
      <b/>
      <sz val="14"/>
      <color theme="0"/>
      <name val="Calibri"/>
      <family val="2"/>
      <scheme val="minor"/>
    </font>
    <font>
      <sz val="16"/>
      <name val="Arial"/>
      <family val="2"/>
    </font>
    <font>
      <sz val="11"/>
      <color indexed="8"/>
      <name val="Verdana"/>
      <family val="2"/>
    </font>
    <font>
      <b/>
      <sz val="11"/>
      <color rgb="FF000000"/>
      <name val="Verdana"/>
      <family val="2"/>
    </font>
    <font>
      <b/>
      <sz val="12"/>
      <color rgb="FF000000"/>
      <name val="Verdana"/>
      <family val="2"/>
    </font>
  </fonts>
  <fills count="57">
    <fill>
      <patternFill patternType="none"/>
    </fill>
    <fill>
      <patternFill patternType="gray125"/>
    </fill>
    <fill>
      <patternFill patternType="solid">
        <fgColor indexed="9"/>
        <bgColor indexed="26"/>
      </patternFill>
    </fill>
    <fill>
      <patternFill patternType="solid">
        <fgColor indexed="13"/>
        <bgColor indexed="34"/>
      </patternFill>
    </fill>
    <fill>
      <patternFill patternType="solid">
        <fgColor rgb="FFFFFF00"/>
        <bgColor indexed="64"/>
      </patternFill>
    </fill>
    <fill>
      <patternFill patternType="solid">
        <fgColor theme="0"/>
        <bgColor indexed="43"/>
      </patternFill>
    </fill>
    <fill>
      <patternFill patternType="solid">
        <fgColor rgb="FFFFFF00"/>
        <bgColor indexed="26"/>
      </patternFill>
    </fill>
    <fill>
      <patternFill patternType="solid">
        <fgColor theme="0"/>
        <bgColor indexed="64"/>
      </patternFill>
    </fill>
    <fill>
      <patternFill patternType="solid">
        <fgColor theme="3"/>
        <bgColor indexed="64"/>
      </patternFill>
    </fill>
    <fill>
      <patternFill patternType="solid">
        <fgColor rgb="FFFBFFFD"/>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indexed="43"/>
      </patternFill>
    </fill>
    <fill>
      <patternFill patternType="solid">
        <fgColor theme="8" tint="0.79998168889431442"/>
        <bgColor indexed="64"/>
      </patternFill>
    </fill>
    <fill>
      <patternFill patternType="solid">
        <fgColor theme="5" tint="0.59999389629810485"/>
        <bgColor indexed="26"/>
      </patternFill>
    </fill>
    <fill>
      <patternFill patternType="solid">
        <fgColor theme="5" tint="0.59999389629810485"/>
        <bgColor indexed="64"/>
      </patternFill>
    </fill>
    <fill>
      <patternFill patternType="solid">
        <fgColor theme="5" tint="0.39997558519241921"/>
        <bgColor indexed="26"/>
      </patternFill>
    </fill>
    <fill>
      <patternFill patternType="solid">
        <fgColor theme="4" tint="0.59999389629810485"/>
        <bgColor indexed="43"/>
      </patternFill>
    </fill>
    <fill>
      <patternFill patternType="solid">
        <fgColor theme="0"/>
        <bgColor indexed="26"/>
      </patternFill>
    </fill>
    <fill>
      <patternFill patternType="solid">
        <fgColor indexed="13"/>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59999389629810485"/>
        <bgColor indexed="26"/>
      </patternFill>
    </fill>
    <fill>
      <patternFill patternType="solid">
        <fgColor theme="9"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26"/>
      </patternFill>
    </fill>
    <fill>
      <patternFill patternType="solid">
        <fgColor rgb="FFFFFFCC"/>
        <bgColor indexed="64"/>
      </patternFill>
    </fill>
    <fill>
      <patternFill patternType="solid">
        <fgColor rgb="FFFFFFCC"/>
        <bgColor indexed="26"/>
      </patternFill>
    </fill>
    <fill>
      <patternFill patternType="solid">
        <fgColor theme="6" tint="0.79998168889431442"/>
        <bgColor indexed="26"/>
      </patternFill>
    </fill>
    <fill>
      <patternFill patternType="solid">
        <fgColor theme="8" tint="0.79998168889431442"/>
        <bgColor indexed="26"/>
      </patternFill>
    </fill>
    <fill>
      <patternFill patternType="solid">
        <fgColor theme="9"/>
        <bgColor indexed="64"/>
      </patternFill>
    </fill>
    <fill>
      <patternFill patternType="solid">
        <fgColor theme="2" tint="-9.9978637043366805E-2"/>
        <bgColor indexed="64"/>
      </patternFill>
    </fill>
    <fill>
      <patternFill patternType="solid">
        <fgColor rgb="FFFFFFFF"/>
        <bgColor rgb="FFFBFFFD"/>
      </patternFill>
    </fill>
    <fill>
      <patternFill patternType="solid">
        <fgColor theme="0"/>
        <bgColor indexed="34"/>
      </patternFill>
    </fill>
    <fill>
      <patternFill patternType="solid">
        <fgColor theme="9" tint="0.59999389629810485"/>
        <bgColor indexed="34"/>
      </patternFill>
    </fill>
    <fill>
      <patternFill patternType="solid">
        <fgColor theme="0"/>
        <bgColor rgb="FFF2DCDB"/>
      </patternFill>
    </fill>
    <fill>
      <patternFill patternType="solid">
        <fgColor theme="0"/>
        <bgColor rgb="FFFFFF00"/>
      </patternFill>
    </fill>
    <fill>
      <patternFill patternType="solid">
        <fgColor theme="0"/>
        <bgColor rgb="FFFBFFFD"/>
      </patternFill>
    </fill>
    <fill>
      <patternFill patternType="solid">
        <fgColor theme="6" tint="0.59999389629810485"/>
        <bgColor rgb="FFD99694"/>
      </patternFill>
    </fill>
    <fill>
      <patternFill patternType="solid">
        <fgColor theme="6" tint="0.59999389629810485"/>
        <bgColor rgb="FFFFFF00"/>
      </patternFill>
    </fill>
    <fill>
      <patternFill patternType="solid">
        <fgColor theme="6" tint="0.59999389629810485"/>
        <bgColor rgb="FFF2DCDB"/>
      </patternFill>
    </fill>
    <fill>
      <patternFill patternType="solid">
        <fgColor theme="5" tint="0.59999389629810485"/>
        <bgColor rgb="FFFFFF00"/>
      </patternFill>
    </fill>
    <fill>
      <patternFill patternType="solid">
        <fgColor theme="0" tint="-0.14999847407452621"/>
        <bgColor indexed="26"/>
      </patternFill>
    </fill>
    <fill>
      <patternFill patternType="solid">
        <fgColor theme="9" tint="0.79998168889431442"/>
        <bgColor indexed="26"/>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26"/>
      </patternFill>
    </fill>
    <fill>
      <patternFill patternType="solid">
        <fgColor theme="3" tint="0.79998168889431442"/>
        <bgColor indexed="64"/>
      </patternFill>
    </fill>
    <fill>
      <patternFill patternType="solid">
        <fgColor theme="2" tint="-9.9978637043366805E-2"/>
        <bgColor indexed="26"/>
      </patternFill>
    </fill>
    <fill>
      <patternFill patternType="solid">
        <fgColor rgb="FFFFFF00"/>
        <bgColor rgb="FFFFFF00"/>
      </patternFill>
    </fill>
    <fill>
      <patternFill patternType="solid">
        <fgColor rgb="FFFFFF00"/>
        <bgColor rgb="FFF2DCDB"/>
      </patternFill>
    </fill>
  </fills>
  <borders count="121">
    <border>
      <left/>
      <right/>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
        <color theme="3"/>
      </left>
      <right/>
      <top style="medium">
        <color theme="3"/>
      </top>
      <bottom/>
      <diagonal/>
    </border>
    <border>
      <left/>
      <right style="medium">
        <color theme="3"/>
      </right>
      <top/>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right/>
      <top style="medium">
        <color theme="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right style="thin">
        <color theme="0" tint="-0.249977111117893"/>
      </right>
      <top style="thin">
        <color theme="0" tint="-0.249977111117893"/>
      </top>
      <bottom style="thin">
        <color theme="0" tint="-0.249977111117893"/>
      </bottom>
      <diagonal/>
    </border>
    <border>
      <left style="medium">
        <color indexed="64"/>
      </left>
      <right/>
      <top style="medium">
        <color indexed="64"/>
      </top>
      <bottom/>
      <diagonal/>
    </border>
    <border>
      <left style="medium">
        <color indexed="64"/>
      </left>
      <right style="thin">
        <color theme="0" tint="-0.249977111117893"/>
      </right>
      <top style="thin">
        <color theme="0" tint="-0.249977111117893"/>
      </top>
      <bottom style="medium">
        <color indexed="64"/>
      </bottom>
      <diagonal/>
    </border>
    <border>
      <left style="medium">
        <color indexed="64"/>
      </left>
      <right style="thin">
        <color theme="0" tint="-0.249977111117893"/>
      </right>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top/>
      <bottom style="thin">
        <color theme="0" tint="-0.249977111117893"/>
      </bottom>
      <diagonal/>
    </border>
    <border>
      <left style="medium">
        <color indexed="64"/>
      </left>
      <right style="thin">
        <color theme="0" tint="-0.249977111117893"/>
      </right>
      <top style="thin">
        <color theme="0" tint="-0.249977111117893"/>
      </top>
      <bottom style="medium">
        <color theme="3"/>
      </bottom>
      <diagonal/>
    </border>
    <border>
      <left style="thin">
        <color theme="3" tint="0.24994659260841701"/>
      </left>
      <right style="thin">
        <color indexed="64"/>
      </right>
      <top style="medium">
        <color theme="3"/>
      </top>
      <bottom style="medium">
        <color theme="3"/>
      </bottom>
      <diagonal/>
    </border>
    <border>
      <left style="thin">
        <color theme="0" tint="-0.249977111117893"/>
      </left>
      <right style="thin">
        <color indexed="64"/>
      </right>
      <top style="thin">
        <color theme="0" tint="-0.249977111117893"/>
      </top>
      <bottom style="thin">
        <color theme="0" tint="-0.249977111117893"/>
      </bottom>
      <diagonal/>
    </border>
    <border>
      <left style="medium">
        <color indexed="64"/>
      </left>
      <right style="thin">
        <color theme="0" tint="-0.249977111117893"/>
      </right>
      <top style="medium">
        <color indexed="64"/>
      </top>
      <bottom style="medium">
        <color theme="3"/>
      </bottom>
      <diagonal/>
    </border>
    <border>
      <left style="thin">
        <color theme="0" tint="-0.249977111117893"/>
      </left>
      <right style="thin">
        <color theme="0" tint="-0.249977111117893"/>
      </right>
      <top style="medium">
        <color indexed="64"/>
      </top>
      <bottom style="medium">
        <color theme="3"/>
      </bottom>
      <diagonal/>
    </border>
    <border>
      <left style="thin">
        <color theme="0" tint="-0.249977111117893"/>
      </left>
      <right style="medium">
        <color indexed="64"/>
      </right>
      <top style="medium">
        <color indexed="64"/>
      </top>
      <bottom style="medium">
        <color theme="3"/>
      </bottom>
      <diagonal/>
    </border>
    <border>
      <left style="medium">
        <color indexed="64"/>
      </left>
      <right style="thin">
        <color theme="0" tint="-0.249977111117893"/>
      </right>
      <top style="medium">
        <color theme="3"/>
      </top>
      <bottom style="thin">
        <color theme="0" tint="-0.249977111117893"/>
      </bottom>
      <diagonal/>
    </border>
    <border>
      <left/>
      <right style="medium">
        <color indexed="64"/>
      </right>
      <top style="medium">
        <color theme="3"/>
      </top>
      <bottom style="thin">
        <color theme="0" tint="-0.249977111117893"/>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style="thin">
        <color theme="3" tint="0.24994659260841701"/>
      </left>
      <right style="thin">
        <color theme="3" tint="0.24994659260841701"/>
      </right>
      <top style="thin">
        <color theme="2"/>
      </top>
      <bottom style="thin">
        <color theme="2"/>
      </bottom>
      <diagonal/>
    </border>
    <border>
      <left style="thin">
        <color theme="3" tint="0.24994659260841701"/>
      </left>
      <right style="thin">
        <color theme="2"/>
      </right>
      <top style="thin">
        <color theme="2"/>
      </top>
      <bottom style="thin">
        <color theme="2"/>
      </bottom>
      <diagonal/>
    </border>
    <border>
      <left/>
      <right style="thin">
        <color theme="3" tint="0.24994659260841701"/>
      </right>
      <top style="thin">
        <color theme="2"/>
      </top>
      <bottom style="thin">
        <color theme="2"/>
      </bottom>
      <diagonal/>
    </border>
    <border>
      <left style="thick">
        <color auto="1"/>
      </left>
      <right style="thin">
        <color theme="2"/>
      </right>
      <top style="thick">
        <color auto="1"/>
      </top>
      <bottom style="thin">
        <color theme="2"/>
      </bottom>
      <diagonal/>
    </border>
    <border>
      <left style="thin">
        <color theme="2"/>
      </left>
      <right style="thin">
        <color theme="2"/>
      </right>
      <top style="thick">
        <color auto="1"/>
      </top>
      <bottom style="thin">
        <color theme="2"/>
      </bottom>
      <diagonal/>
    </border>
    <border>
      <left style="thin">
        <color theme="2"/>
      </left>
      <right style="thick">
        <color auto="1"/>
      </right>
      <top style="thick">
        <color auto="1"/>
      </top>
      <bottom style="thin">
        <color theme="2"/>
      </bottom>
      <diagonal/>
    </border>
    <border>
      <left style="thick">
        <color auto="1"/>
      </left>
      <right style="thin">
        <color theme="2"/>
      </right>
      <top style="thin">
        <color theme="2"/>
      </top>
      <bottom style="thin">
        <color theme="2"/>
      </bottom>
      <diagonal/>
    </border>
    <border>
      <left style="thin">
        <color theme="2"/>
      </left>
      <right style="thick">
        <color auto="1"/>
      </right>
      <top style="thin">
        <color theme="2"/>
      </top>
      <bottom style="thin">
        <color theme="2"/>
      </bottom>
      <diagonal/>
    </border>
    <border>
      <left style="thick">
        <color auto="1"/>
      </left>
      <right style="thin">
        <color theme="2"/>
      </right>
      <top style="thin">
        <color theme="2"/>
      </top>
      <bottom style="thick">
        <color auto="1"/>
      </bottom>
      <diagonal/>
    </border>
    <border>
      <left style="thin">
        <color theme="2"/>
      </left>
      <right style="thin">
        <color theme="2"/>
      </right>
      <top style="thin">
        <color theme="2"/>
      </top>
      <bottom style="thick">
        <color auto="1"/>
      </bottom>
      <diagonal/>
    </border>
    <border>
      <left style="thin">
        <color theme="2"/>
      </left>
      <right style="thick">
        <color auto="1"/>
      </right>
      <top style="thin">
        <color theme="2"/>
      </top>
      <bottom style="thick">
        <color auto="1"/>
      </bottom>
      <diagonal/>
    </border>
    <border>
      <left style="thin">
        <color indexed="64"/>
      </left>
      <right style="thin">
        <color theme="2"/>
      </right>
      <top style="thin">
        <color indexed="64"/>
      </top>
      <bottom style="thin">
        <color indexed="64"/>
      </bottom>
      <diagonal/>
    </border>
    <border>
      <left style="thin">
        <color theme="2"/>
      </left>
      <right style="thin">
        <color indexed="64"/>
      </right>
      <top style="thin">
        <color indexed="64"/>
      </top>
      <bottom style="thin">
        <color indexed="64"/>
      </bottom>
      <diagonal/>
    </border>
    <border>
      <left style="medium">
        <color theme="3"/>
      </left>
      <right/>
      <top style="medium">
        <color indexed="64"/>
      </top>
      <bottom/>
      <diagonal/>
    </border>
    <border>
      <left style="medium">
        <color theme="3"/>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dotted">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medium">
        <color indexed="64"/>
      </left>
      <right style="thin">
        <color theme="0" tint="-0.249977111117893"/>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theme="0" tint="-0.249977111117893"/>
      </top>
      <bottom style="medium">
        <color theme="3"/>
      </bottom>
      <diagonal/>
    </border>
    <border>
      <left/>
      <right style="thin">
        <color indexed="64"/>
      </right>
      <top style="thin">
        <color theme="0" tint="-0.249977111117893"/>
      </top>
      <bottom style="thin">
        <color indexed="64"/>
      </bottom>
      <diagonal/>
    </border>
    <border>
      <left/>
      <right style="medium">
        <color indexed="64"/>
      </right>
      <top/>
      <bottom style="thin">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3" tint="0.24994659260841701"/>
      </right>
      <top style="medium">
        <color indexed="64"/>
      </top>
      <bottom style="medium">
        <color theme="3"/>
      </bottom>
      <diagonal/>
    </border>
    <border>
      <left style="thin">
        <color theme="3" tint="0.24994659260841701"/>
      </left>
      <right style="thin">
        <color theme="3" tint="0.24994659260841701"/>
      </right>
      <top style="medium">
        <color indexed="64"/>
      </top>
      <bottom style="medium">
        <color theme="3"/>
      </bottom>
      <diagonal/>
    </border>
    <border>
      <left style="thin">
        <color theme="3" tint="0.24994659260841701"/>
      </left>
      <right style="medium">
        <color indexed="64"/>
      </right>
      <top style="medium">
        <color indexed="64"/>
      </top>
      <bottom style="medium">
        <color theme="3"/>
      </bottom>
      <diagonal/>
    </border>
    <border>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medium">
        <color theme="3"/>
      </bottom>
      <diagonal/>
    </border>
    <border>
      <left style="thin">
        <color theme="0" tint="-0.249977111117893"/>
      </left>
      <right style="medium">
        <color indexed="64"/>
      </right>
      <top style="thin">
        <color theme="0" tint="-0.249977111117893"/>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theme="3" tint="0.24994659260841701"/>
      </right>
      <top style="medium">
        <color indexed="64"/>
      </top>
      <bottom style="medium">
        <color theme="3"/>
      </bottom>
      <diagonal/>
    </border>
    <border>
      <left style="medium">
        <color indexed="64"/>
      </left>
      <right style="thin">
        <color theme="3" tint="0.24994659260841701"/>
      </right>
      <top style="medium">
        <color indexed="64"/>
      </top>
      <bottom/>
      <diagonal/>
    </border>
    <border>
      <left style="medium">
        <color indexed="64"/>
      </left>
      <right style="thin">
        <color theme="3" tint="0.24994659260841701"/>
      </right>
      <top/>
      <bottom style="medium">
        <color theme="3"/>
      </bottom>
      <diagonal/>
    </border>
  </borders>
  <cellStyleXfs count="5">
    <xf numFmtId="0" fontId="0" fillId="0" borderId="0"/>
    <xf numFmtId="9" fontId="4" fillId="0" borderId="0" applyFill="0" applyBorder="0" applyAlignment="0" applyProtection="0"/>
    <xf numFmtId="0" fontId="9" fillId="0" borderId="0" applyNumberFormat="0" applyFill="0" applyBorder="0" applyAlignment="0" applyProtection="0"/>
    <xf numFmtId="164" fontId="4" fillId="0" borderId="0" applyFont="0" applyFill="0" applyBorder="0" applyAlignment="0" applyProtection="0"/>
    <xf numFmtId="44" fontId="4" fillId="0" borderId="0" applyFont="0" applyFill="0" applyBorder="0" applyAlignment="0" applyProtection="0"/>
  </cellStyleXfs>
  <cellXfs count="692">
    <xf numFmtId="0" fontId="0" fillId="0" borderId="0" xfId="0"/>
    <xf numFmtId="3" fontId="0" fillId="0" borderId="0" xfId="0" applyNumberFormat="1"/>
    <xf numFmtId="0" fontId="3" fillId="2" borderId="0" xfId="0" applyFont="1" applyFill="1" applyAlignment="1">
      <alignment vertical="top" wrapText="1"/>
    </xf>
    <xf numFmtId="0" fontId="11" fillId="0" borderId="0" xfId="0" applyFont="1"/>
    <xf numFmtId="0" fontId="11" fillId="4" borderId="0" xfId="0" applyFont="1" applyFill="1"/>
    <xf numFmtId="173" fontId="11" fillId="0" borderId="0" xfId="0" applyNumberFormat="1" applyFont="1"/>
    <xf numFmtId="0" fontId="13" fillId="0" borderId="0" xfId="0" applyFont="1"/>
    <xf numFmtId="0" fontId="12" fillId="0" borderId="0" xfId="0" applyFont="1"/>
    <xf numFmtId="167" fontId="11" fillId="7" borderId="0" xfId="0" applyNumberFormat="1" applyFont="1" applyFill="1"/>
    <xf numFmtId="0" fontId="15" fillId="8" borderId="5" xfId="0" applyFont="1" applyFill="1" applyBorder="1" applyAlignment="1">
      <alignment horizontal="left" vertical="center"/>
    </xf>
    <xf numFmtId="0" fontId="15" fillId="8" borderId="6" xfId="0" applyFont="1" applyFill="1" applyBorder="1" applyAlignment="1">
      <alignment horizontal="left" vertical="center"/>
    </xf>
    <xf numFmtId="0" fontId="16" fillId="9" borderId="7" xfId="0" applyFont="1" applyFill="1" applyBorder="1"/>
    <xf numFmtId="10" fontId="16" fillId="10" borderId="8" xfId="0" applyNumberFormat="1" applyFont="1" applyFill="1" applyBorder="1" applyAlignment="1">
      <alignment horizontal="center"/>
    </xf>
    <xf numFmtId="0" fontId="16" fillId="9" borderId="9" xfId="0" applyFont="1" applyFill="1" applyBorder="1"/>
    <xf numFmtId="10" fontId="16" fillId="10" borderId="10" xfId="0" applyNumberFormat="1" applyFont="1" applyFill="1" applyBorder="1" applyAlignment="1">
      <alignment horizontal="center"/>
    </xf>
    <xf numFmtId="0" fontId="16" fillId="9" borderId="12" xfId="0" applyFont="1" applyFill="1" applyBorder="1"/>
    <xf numFmtId="10" fontId="16" fillId="10" borderId="13" xfId="0" applyNumberFormat="1" applyFont="1" applyFill="1" applyBorder="1" applyAlignment="1">
      <alignment horizontal="center"/>
    </xf>
    <xf numFmtId="0" fontId="16" fillId="9" borderId="0" xfId="0" applyFont="1" applyFill="1"/>
    <xf numFmtId="0" fontId="11" fillId="0" borderId="0" xfId="0" applyFont="1" applyAlignment="1">
      <alignment horizontal="left" vertical="center"/>
    </xf>
    <xf numFmtId="0" fontId="18" fillId="4" borderId="0" xfId="0" applyFont="1" applyFill="1"/>
    <xf numFmtId="0" fontId="11" fillId="0" borderId="0" xfId="0" applyFont="1" applyAlignment="1">
      <alignment horizontal="right"/>
    </xf>
    <xf numFmtId="167" fontId="11" fillId="0" borderId="0" xfId="0" applyNumberFormat="1" applyFont="1"/>
    <xf numFmtId="0" fontId="11" fillId="0" borderId="0" xfId="0" applyFont="1" applyAlignment="1">
      <alignment horizontal="left"/>
    </xf>
    <xf numFmtId="2" fontId="11" fillId="0" borderId="0" xfId="0" applyNumberFormat="1" applyFont="1"/>
    <xf numFmtId="10" fontId="11" fillId="0" borderId="0" xfId="0" applyNumberFormat="1" applyFont="1"/>
    <xf numFmtId="0" fontId="11" fillId="0" borderId="0" xfId="0" quotePrefix="1" applyFont="1"/>
    <xf numFmtId="0" fontId="11" fillId="0" borderId="18" xfId="0" applyFont="1" applyBorder="1"/>
    <xf numFmtId="166" fontId="11" fillId="4" borderId="18" xfId="0" applyNumberFormat="1" applyFont="1" applyFill="1" applyBorder="1"/>
    <xf numFmtId="0" fontId="21" fillId="8" borderId="18" xfId="0" applyFont="1" applyFill="1" applyBorder="1"/>
    <xf numFmtId="167" fontId="13" fillId="7" borderId="18" xfId="0" applyNumberFormat="1" applyFont="1" applyFill="1" applyBorder="1"/>
    <xf numFmtId="167" fontId="11" fillId="4" borderId="18" xfId="0" applyNumberFormat="1" applyFont="1" applyFill="1" applyBorder="1"/>
    <xf numFmtId="167" fontId="11" fillId="7" borderId="18" xfId="0" applyNumberFormat="1" applyFont="1" applyFill="1" applyBorder="1"/>
    <xf numFmtId="0" fontId="13" fillId="0" borderId="18" xfId="0" applyFont="1" applyBorder="1"/>
    <xf numFmtId="167" fontId="13" fillId="0" borderId="18" xfId="0" applyNumberFormat="1" applyFont="1" applyBorder="1"/>
    <xf numFmtId="171" fontId="11" fillId="0" borderId="18" xfId="0" applyNumberFormat="1" applyFont="1" applyBorder="1"/>
    <xf numFmtId="174" fontId="11" fillId="0" borderId="18" xfId="4" applyNumberFormat="1" applyFont="1" applyBorder="1" applyAlignment="1">
      <alignment horizontal="right"/>
    </xf>
    <xf numFmtId="10" fontId="11" fillId="4" borderId="18" xfId="1" applyNumberFormat="1" applyFont="1" applyFill="1" applyBorder="1"/>
    <xf numFmtId="10" fontId="11" fillId="4" borderId="18" xfId="0" applyNumberFormat="1" applyFont="1" applyFill="1" applyBorder="1"/>
    <xf numFmtId="10" fontId="11" fillId="7" borderId="18" xfId="0" applyNumberFormat="1" applyFont="1" applyFill="1" applyBorder="1"/>
    <xf numFmtId="167" fontId="11" fillId="0" borderId="18" xfId="0" applyNumberFormat="1" applyFont="1" applyBorder="1"/>
    <xf numFmtId="167" fontId="11" fillId="7" borderId="18" xfId="0" applyNumberFormat="1" applyFont="1" applyFill="1" applyBorder="1" applyAlignment="1">
      <alignment horizontal="right" vertical="center"/>
    </xf>
    <xf numFmtId="0" fontId="21" fillId="8" borderId="18" xfId="0" applyFont="1" applyFill="1" applyBorder="1" applyAlignment="1">
      <alignment horizontal="left" wrapText="1"/>
    </xf>
    <xf numFmtId="168" fontId="11" fillId="0" borderId="18" xfId="0" applyNumberFormat="1" applyFont="1" applyBorder="1"/>
    <xf numFmtId="0" fontId="13" fillId="12" borderId="18" xfId="0" applyFont="1" applyFill="1" applyBorder="1"/>
    <xf numFmtId="10" fontId="11" fillId="0" borderId="18" xfId="0" applyNumberFormat="1" applyFont="1" applyBorder="1"/>
    <xf numFmtId="10" fontId="13" fillId="3" borderId="18" xfId="0" applyNumberFormat="1" applyFont="1" applyFill="1" applyBorder="1"/>
    <xf numFmtId="169" fontId="11" fillId="0" borderId="18" xfId="0" applyNumberFormat="1" applyFont="1" applyBorder="1"/>
    <xf numFmtId="0" fontId="13" fillId="12" borderId="18" xfId="0" applyFont="1" applyFill="1" applyBorder="1" applyAlignment="1">
      <alignment horizontal="left" vertical="center"/>
    </xf>
    <xf numFmtId="0" fontId="11" fillId="0" borderId="18" xfId="0" applyFont="1" applyBorder="1" applyAlignment="1">
      <alignment horizontal="center" wrapText="1"/>
    </xf>
    <xf numFmtId="167" fontId="11" fillId="4" borderId="18" xfId="0" applyNumberFormat="1" applyFont="1" applyFill="1" applyBorder="1" applyAlignment="1">
      <alignment horizontal="center" vertical="center"/>
    </xf>
    <xf numFmtId="172" fontId="11" fillId="0" borderId="18" xfId="3" applyNumberFormat="1" applyFont="1" applyBorder="1" applyAlignment="1">
      <alignment horizontal="center"/>
    </xf>
    <xf numFmtId="0" fontId="23" fillId="5" borderId="0" xfId="0" applyFont="1" applyFill="1"/>
    <xf numFmtId="0" fontId="24" fillId="5" borderId="0" xfId="0" applyFont="1" applyFill="1"/>
    <xf numFmtId="0" fontId="24" fillId="0" borderId="0" xfId="0" applyFont="1"/>
    <xf numFmtId="0" fontId="24" fillId="4" borderId="0" xfId="0" applyFont="1" applyFill="1"/>
    <xf numFmtId="0" fontId="14" fillId="2" borderId="0" xfId="0" applyFont="1" applyFill="1"/>
    <xf numFmtId="0" fontId="14" fillId="6" borderId="0" xfId="0" applyFont="1" applyFill="1"/>
    <xf numFmtId="0" fontId="27" fillId="0" borderId="0" xfId="2" applyFont="1"/>
    <xf numFmtId="175" fontId="11" fillId="4" borderId="18" xfId="0" applyNumberFormat="1" applyFont="1" applyFill="1" applyBorder="1"/>
    <xf numFmtId="0" fontId="19" fillId="4" borderId="0" xfId="0" applyFont="1" applyFill="1"/>
    <xf numFmtId="0" fontId="19" fillId="6" borderId="0" xfId="0" applyFont="1" applyFill="1"/>
    <xf numFmtId="0" fontId="24" fillId="2" borderId="0" xfId="0" applyFont="1" applyFill="1"/>
    <xf numFmtId="0" fontId="28" fillId="6" borderId="0" xfId="0" applyFont="1" applyFill="1"/>
    <xf numFmtId="0" fontId="25" fillId="4" borderId="0" xfId="0" applyFont="1" applyFill="1"/>
    <xf numFmtId="0" fontId="25" fillId="6" borderId="0" xfId="0" applyFont="1" applyFill="1"/>
    <xf numFmtId="0" fontId="0" fillId="9" borderId="0" xfId="0" applyFill="1"/>
    <xf numFmtId="0" fontId="15" fillId="8" borderId="21" xfId="0" applyFont="1" applyFill="1" applyBorder="1" applyAlignment="1">
      <alignment horizontal="center"/>
    </xf>
    <xf numFmtId="1" fontId="15" fillId="8" borderId="22" xfId="0" applyNumberFormat="1" applyFont="1" applyFill="1" applyBorder="1" applyAlignment="1">
      <alignment horizontal="center"/>
    </xf>
    <xf numFmtId="0" fontId="10" fillId="9" borderId="0" xfId="0" applyFont="1" applyFill="1" applyAlignment="1">
      <alignment horizontal="center"/>
    </xf>
    <xf numFmtId="0" fontId="16" fillId="0" borderId="0" xfId="0" applyFont="1"/>
    <xf numFmtId="3" fontId="16" fillId="7" borderId="0" xfId="0" applyNumberFormat="1" applyFont="1" applyFill="1" applyAlignment="1">
      <alignment horizontal="center"/>
    </xf>
    <xf numFmtId="0" fontId="16" fillId="0" borderId="25" xfId="0" applyFont="1" applyBorder="1"/>
    <xf numFmtId="0" fontId="16" fillId="0" borderId="26" xfId="0" applyFont="1" applyBorder="1"/>
    <xf numFmtId="0" fontId="16" fillId="0" borderId="27" xfId="0" applyFont="1" applyBorder="1"/>
    <xf numFmtId="0" fontId="16" fillId="0" borderId="28" xfId="0" applyFont="1" applyBorder="1"/>
    <xf numFmtId="0" fontId="16" fillId="0" borderId="29" xfId="0" applyFont="1" applyBorder="1"/>
    <xf numFmtId="1" fontId="15" fillId="8" borderId="30" xfId="0" applyNumberFormat="1" applyFont="1" applyFill="1" applyBorder="1" applyAlignment="1">
      <alignment horizontal="center"/>
    </xf>
    <xf numFmtId="0" fontId="16" fillId="0" borderId="35" xfId="0" applyFont="1" applyBorder="1"/>
    <xf numFmtId="0" fontId="16" fillId="0" borderId="38" xfId="0" applyFont="1" applyBorder="1" applyAlignment="1">
      <alignment horizontal="left" indent="1"/>
    </xf>
    <xf numFmtId="175" fontId="16" fillId="7" borderId="37" xfId="0" applyNumberFormat="1" applyFont="1" applyFill="1" applyBorder="1" applyAlignment="1">
      <alignment horizontal="center"/>
    </xf>
    <xf numFmtId="175" fontId="16" fillId="4" borderId="39" xfId="0" applyNumberFormat="1" applyFont="1" applyFill="1" applyBorder="1" applyAlignment="1">
      <alignment horizontal="center"/>
    </xf>
    <xf numFmtId="0" fontId="21" fillId="8" borderId="18" xfId="0" applyFont="1" applyFill="1" applyBorder="1" applyAlignment="1">
      <alignment vertical="center" wrapText="1"/>
    </xf>
    <xf numFmtId="9" fontId="11" fillId="3" borderId="18" xfId="0" applyNumberFormat="1" applyFont="1" applyFill="1" applyBorder="1" applyAlignment="1">
      <alignment vertical="center"/>
    </xf>
    <xf numFmtId="1" fontId="29" fillId="8" borderId="42" xfId="0" applyNumberFormat="1" applyFont="1" applyFill="1" applyBorder="1" applyAlignment="1">
      <alignment horizontal="center"/>
    </xf>
    <xf numFmtId="1" fontId="29" fillId="8" borderId="43" xfId="0" applyNumberFormat="1" applyFont="1" applyFill="1" applyBorder="1" applyAlignment="1">
      <alignment horizontal="center"/>
    </xf>
    <xf numFmtId="0" fontId="29" fillId="8" borderId="44" xfId="0" applyFont="1" applyFill="1" applyBorder="1" applyAlignment="1">
      <alignment horizontal="center"/>
    </xf>
    <xf numFmtId="0" fontId="16" fillId="7" borderId="41" xfId="0" applyFont="1" applyFill="1" applyBorder="1" applyAlignment="1">
      <alignment horizontal="right"/>
    </xf>
    <xf numFmtId="0" fontId="16" fillId="0" borderId="48" xfId="0" applyFont="1" applyBorder="1"/>
    <xf numFmtId="176" fontId="16" fillId="7" borderId="49" xfId="4" applyNumberFormat="1" applyFont="1" applyFill="1" applyBorder="1" applyAlignment="1" applyProtection="1"/>
    <xf numFmtId="0" fontId="16" fillId="0" borderId="50" xfId="0" applyFont="1" applyBorder="1"/>
    <xf numFmtId="175" fontId="16" fillId="7" borderId="51" xfId="0" applyNumberFormat="1" applyFont="1" applyFill="1" applyBorder="1" applyAlignment="1">
      <alignment horizontal="center"/>
    </xf>
    <xf numFmtId="0" fontId="16" fillId="7" borderId="51" xfId="0" applyFont="1" applyFill="1" applyBorder="1" applyAlignment="1">
      <alignment horizontal="left" indent="1"/>
    </xf>
    <xf numFmtId="175" fontId="16" fillId="7" borderId="52" xfId="0" applyNumberFormat="1" applyFont="1" applyFill="1" applyBorder="1" applyAlignment="1">
      <alignment horizontal="center"/>
    </xf>
    <xf numFmtId="44" fontId="12" fillId="14" borderId="53" xfId="4" applyFont="1" applyFill="1" applyBorder="1"/>
    <xf numFmtId="0" fontId="12" fillId="14" borderId="54" xfId="0" applyFont="1" applyFill="1" applyBorder="1"/>
    <xf numFmtId="1" fontId="11" fillId="4" borderId="18" xfId="0" applyNumberFormat="1" applyFont="1" applyFill="1" applyBorder="1" applyAlignment="1">
      <alignment horizontal="center"/>
    </xf>
    <xf numFmtId="0" fontId="9" fillId="0" borderId="0" xfId="2"/>
    <xf numFmtId="0" fontId="32" fillId="0" borderId="0" xfId="2" applyFont="1" applyProtection="1">
      <protection hidden="1"/>
    </xf>
    <xf numFmtId="0" fontId="15" fillId="8" borderId="55" xfId="0" applyFont="1" applyFill="1" applyBorder="1" applyAlignment="1">
      <alignment horizontal="left" vertical="center"/>
    </xf>
    <xf numFmtId="0" fontId="15" fillId="8" borderId="56" xfId="0" applyFont="1" applyFill="1" applyBorder="1" applyAlignment="1">
      <alignment horizontal="left" vertical="center"/>
    </xf>
    <xf numFmtId="0" fontId="0" fillId="0" borderId="18" xfId="0" applyBorder="1" applyAlignment="1">
      <alignment vertical="center"/>
    </xf>
    <xf numFmtId="0" fontId="0" fillId="0" borderId="57" xfId="0"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30" fillId="15" borderId="0" xfId="0" applyFont="1" applyFill="1"/>
    <xf numFmtId="0" fontId="24" fillId="16" borderId="0" xfId="0" applyFont="1" applyFill="1"/>
    <xf numFmtId="0" fontId="31" fillId="16" borderId="0" xfId="0" applyFont="1" applyFill="1" applyAlignment="1">
      <alignment horizontal="left"/>
    </xf>
    <xf numFmtId="0" fontId="11" fillId="16" borderId="0" xfId="0" applyFont="1" applyFill="1"/>
    <xf numFmtId="10" fontId="0" fillId="0" borderId="18" xfId="0" applyNumberFormat="1" applyBorder="1" applyAlignment="1">
      <alignment horizontal="center" vertical="center"/>
    </xf>
    <xf numFmtId="10" fontId="0" fillId="0" borderId="18" xfId="1" applyNumberFormat="1" applyFont="1" applyBorder="1" applyAlignment="1">
      <alignment horizontal="center" vertical="center"/>
    </xf>
    <xf numFmtId="10" fontId="0" fillId="0" borderId="58" xfId="1" applyNumberFormat="1" applyFont="1" applyBorder="1" applyAlignment="1">
      <alignment horizontal="center" vertical="center"/>
    </xf>
    <xf numFmtId="0" fontId="2" fillId="0" borderId="0" xfId="0" applyFont="1"/>
    <xf numFmtId="0" fontId="16" fillId="7" borderId="41" xfId="0" applyFont="1" applyFill="1" applyBorder="1" applyAlignment="1">
      <alignment horizontal="left"/>
    </xf>
    <xf numFmtId="177" fontId="11" fillId="7" borderId="18" xfId="3" applyNumberFormat="1" applyFont="1" applyFill="1" applyBorder="1"/>
    <xf numFmtId="167" fontId="11" fillId="7" borderId="18" xfId="0" applyNumberFormat="1" applyFont="1" applyFill="1" applyBorder="1" applyAlignment="1">
      <alignment horizontal="center" vertical="center"/>
    </xf>
    <xf numFmtId="167" fontId="11" fillId="4" borderId="18" xfId="0" applyNumberFormat="1" applyFont="1" applyFill="1" applyBorder="1" applyAlignment="1">
      <alignment horizontal="right" vertical="center"/>
    </xf>
    <xf numFmtId="0" fontId="24" fillId="0" borderId="0" xfId="0" applyFont="1" applyAlignment="1">
      <alignment wrapText="1"/>
    </xf>
    <xf numFmtId="0" fontId="24" fillId="2" borderId="0" xfId="0" applyFont="1" applyFill="1" applyAlignment="1">
      <alignment horizontal="left" vertical="top" indent="2"/>
    </xf>
    <xf numFmtId="0" fontId="24" fillId="12" borderId="0" xfId="0" applyFont="1" applyFill="1"/>
    <xf numFmtId="0" fontId="24" fillId="18" borderId="0" xfId="0" applyFont="1" applyFill="1"/>
    <xf numFmtId="0" fontId="26" fillId="18" borderId="0" xfId="0" applyFont="1" applyFill="1"/>
    <xf numFmtId="0" fontId="38" fillId="18" borderId="0" xfId="0" applyFont="1" applyFill="1"/>
    <xf numFmtId="0" fontId="39" fillId="0" borderId="0" xfId="2" applyFont="1"/>
    <xf numFmtId="0" fontId="14" fillId="17" borderId="0" xfId="0" applyFont="1" applyFill="1" applyAlignment="1">
      <alignment horizontal="center"/>
    </xf>
    <xf numFmtId="0" fontId="14" fillId="0" borderId="0" xfId="0" applyFont="1"/>
    <xf numFmtId="0" fontId="40" fillId="0" borderId="0" xfId="0" applyFont="1"/>
    <xf numFmtId="0" fontId="14" fillId="19" borderId="0" xfId="0" applyFont="1" applyFill="1"/>
    <xf numFmtId="0" fontId="24" fillId="7" borderId="0" xfId="0" applyFont="1" applyFill="1"/>
    <xf numFmtId="0" fontId="4" fillId="0" borderId="64" xfId="0" applyFont="1" applyBorder="1" applyAlignment="1">
      <alignment horizontal="center"/>
    </xf>
    <xf numFmtId="0" fontId="35" fillId="20" borderId="18" xfId="0" applyFont="1" applyFill="1" applyBorder="1" applyAlignment="1">
      <alignment horizontal="center" vertical="top"/>
    </xf>
    <xf numFmtId="0" fontId="35" fillId="20" borderId="18" xfId="0" applyFont="1" applyFill="1" applyBorder="1"/>
    <xf numFmtId="0" fontId="35" fillId="20" borderId="18" xfId="0" applyFont="1" applyFill="1" applyBorder="1" applyAlignment="1">
      <alignment horizontal="center"/>
    </xf>
    <xf numFmtId="0" fontId="0" fillId="0" borderId="18" xfId="0" applyBorder="1" applyAlignment="1">
      <alignment horizontal="center" vertical="center"/>
    </xf>
    <xf numFmtId="14" fontId="0" fillId="0" borderId="18" xfId="0" applyNumberFormat="1" applyBorder="1" applyAlignment="1">
      <alignment horizontal="center" vertical="center"/>
    </xf>
    <xf numFmtId="0" fontId="0" fillId="0" borderId="18" xfId="0" applyBorder="1" applyAlignment="1">
      <alignment vertical="top" wrapText="1"/>
    </xf>
    <xf numFmtId="0" fontId="0" fillId="0" borderId="18" xfId="0" applyBorder="1" applyAlignment="1">
      <alignment vertical="center" wrapText="1"/>
    </xf>
    <xf numFmtId="178" fontId="4" fillId="21" borderId="18" xfId="0" applyNumberFormat="1" applyFont="1" applyFill="1" applyBorder="1"/>
    <xf numFmtId="3" fontId="4" fillId="7" borderId="23" xfId="1" applyNumberFormat="1" applyFill="1" applyBorder="1" applyAlignment="1" applyProtection="1">
      <alignment horizontal="center"/>
    </xf>
    <xf numFmtId="3" fontId="4" fillId="7" borderId="15" xfId="1" applyNumberFormat="1" applyFill="1" applyBorder="1" applyAlignment="1" applyProtection="1">
      <alignment horizontal="center"/>
    </xf>
    <xf numFmtId="3" fontId="4" fillId="7" borderId="31" xfId="1" applyNumberFormat="1" applyFill="1" applyBorder="1" applyAlignment="1" applyProtection="1">
      <alignment horizontal="center"/>
    </xf>
    <xf numFmtId="3" fontId="4" fillId="7" borderId="16" xfId="1" applyNumberFormat="1" applyFill="1" applyBorder="1" applyAlignment="1" applyProtection="1">
      <alignment horizontal="center"/>
    </xf>
    <xf numFmtId="178" fontId="20" fillId="7" borderId="23" xfId="1" applyNumberFormat="1" applyFont="1" applyFill="1" applyBorder="1" applyAlignment="1" applyProtection="1">
      <alignment horizontal="center"/>
    </xf>
    <xf numFmtId="178" fontId="20" fillId="7" borderId="15" xfId="1" applyNumberFormat="1" applyFont="1" applyFill="1" applyBorder="1" applyAlignment="1" applyProtection="1">
      <alignment horizontal="center"/>
    </xf>
    <xf numFmtId="178" fontId="20" fillId="7" borderId="31" xfId="1" applyNumberFormat="1" applyFont="1" applyFill="1" applyBorder="1" applyAlignment="1" applyProtection="1">
      <alignment horizontal="center"/>
    </xf>
    <xf numFmtId="178" fontId="16" fillId="7" borderId="16" xfId="4" applyNumberFormat="1" applyFont="1" applyFill="1" applyBorder="1" applyAlignment="1" applyProtection="1">
      <alignment horizontal="center"/>
    </xf>
    <xf numFmtId="178" fontId="16" fillId="7" borderId="17" xfId="4" applyNumberFormat="1" applyFont="1" applyFill="1" applyBorder="1" applyAlignment="1" applyProtection="1">
      <alignment horizontal="center"/>
    </xf>
    <xf numFmtId="0" fontId="0" fillId="0" borderId="64" xfId="0" applyBorder="1" applyAlignment="1">
      <alignment horizontal="center"/>
    </xf>
    <xf numFmtId="0" fontId="42" fillId="21" borderId="61" xfId="0" applyFont="1" applyFill="1" applyBorder="1" applyAlignment="1">
      <alignment horizontal="center"/>
    </xf>
    <xf numFmtId="0" fontId="42" fillId="21" borderId="62" xfId="0" applyFont="1" applyFill="1" applyBorder="1" applyAlignment="1">
      <alignment horizontal="center"/>
    </xf>
    <xf numFmtId="0" fontId="42" fillId="21" borderId="63" xfId="0" applyFont="1" applyFill="1" applyBorder="1" applyAlignment="1">
      <alignment horizontal="center"/>
    </xf>
    <xf numFmtId="0" fontId="7" fillId="2" borderId="18" xfId="0" quotePrefix="1" applyFont="1" applyFill="1" applyBorder="1" applyAlignment="1" applyProtection="1">
      <alignment horizontal="center"/>
      <protection locked="0"/>
    </xf>
    <xf numFmtId="3" fontId="4" fillId="7" borderId="71" xfId="1" applyNumberFormat="1" applyFill="1" applyBorder="1" applyAlignment="1" applyProtection="1">
      <alignment horizontal="center"/>
    </xf>
    <xf numFmtId="0" fontId="42" fillId="22" borderId="61" xfId="0" applyFont="1" applyFill="1" applyBorder="1" applyAlignment="1">
      <alignment horizontal="center"/>
    </xf>
    <xf numFmtId="0" fontId="42" fillId="22" borderId="62" xfId="0" applyFont="1" applyFill="1" applyBorder="1" applyAlignment="1">
      <alignment horizontal="center"/>
    </xf>
    <xf numFmtId="0" fontId="42" fillId="22" borderId="63" xfId="0" applyFont="1" applyFill="1" applyBorder="1" applyAlignment="1">
      <alignment horizontal="center"/>
    </xf>
    <xf numFmtId="178" fontId="4" fillId="22" borderId="18" xfId="0" applyNumberFormat="1" applyFont="1" applyFill="1" applyBorder="1"/>
    <xf numFmtId="0" fontId="43" fillId="26" borderId="61" xfId="0" applyFont="1" applyFill="1" applyBorder="1" applyAlignment="1">
      <alignment horizontal="center"/>
    </xf>
    <xf numFmtId="0" fontId="43" fillId="26" borderId="62" xfId="0" applyFont="1" applyFill="1" applyBorder="1" applyAlignment="1">
      <alignment horizontal="center"/>
    </xf>
    <xf numFmtId="0" fontId="43" fillId="26" borderId="63" xfId="0" applyFont="1" applyFill="1" applyBorder="1" applyAlignment="1">
      <alignment horizontal="center"/>
    </xf>
    <xf numFmtId="170" fontId="0" fillId="26" borderId="18" xfId="0" applyNumberFormat="1" applyFill="1" applyBorder="1"/>
    <xf numFmtId="0" fontId="45" fillId="6" borderId="0" xfId="0" applyFont="1" applyFill="1"/>
    <xf numFmtId="3" fontId="46" fillId="6" borderId="0" xfId="0" applyNumberFormat="1" applyFont="1" applyFill="1" applyProtection="1">
      <protection locked="0"/>
    </xf>
    <xf numFmtId="0" fontId="46" fillId="6" borderId="0" xfId="0" applyFont="1" applyFill="1"/>
    <xf numFmtId="171" fontId="20" fillId="0" borderId="18" xfId="1" applyNumberFormat="1" applyFont="1" applyBorder="1" applyAlignment="1">
      <alignment horizontal="center"/>
    </xf>
    <xf numFmtId="0" fontId="47" fillId="2" borderId="0" xfId="0" quotePrefix="1" applyFont="1" applyFill="1" applyAlignment="1" applyProtection="1">
      <alignment horizontal="center"/>
      <protection locked="0"/>
    </xf>
    <xf numFmtId="0" fontId="48" fillId="0" borderId="0" xfId="0" applyFont="1"/>
    <xf numFmtId="0" fontId="46" fillId="2" borderId="0" xfId="0" applyFont="1" applyFill="1"/>
    <xf numFmtId="0" fontId="45" fillId="2" borderId="1" xfId="0" applyFont="1" applyFill="1" applyBorder="1"/>
    <xf numFmtId="0" fontId="45" fillId="2" borderId="2" xfId="0" applyFont="1" applyFill="1" applyBorder="1"/>
    <xf numFmtId="0" fontId="45" fillId="2" borderId="3" xfId="0" applyFont="1" applyFill="1" applyBorder="1"/>
    <xf numFmtId="0" fontId="45" fillId="2" borderId="4" xfId="0" applyFont="1" applyFill="1" applyBorder="1"/>
    <xf numFmtId="0" fontId="45" fillId="2" borderId="18" xfId="0" applyFont="1" applyFill="1" applyBorder="1" applyAlignment="1">
      <alignment horizontal="center" vertical="center"/>
    </xf>
    <xf numFmtId="0" fontId="46" fillId="2" borderId="18" xfId="0" applyFont="1" applyFill="1" applyBorder="1" applyAlignment="1">
      <alignment horizontal="center" vertical="center"/>
    </xf>
    <xf numFmtId="178" fontId="46" fillId="2" borderId="18" xfId="0" applyNumberFormat="1" applyFont="1" applyFill="1" applyBorder="1"/>
    <xf numFmtId="10" fontId="46" fillId="2" borderId="18" xfId="0" applyNumberFormat="1" applyFont="1" applyFill="1" applyBorder="1" applyAlignment="1">
      <alignment horizontal="center"/>
    </xf>
    <xf numFmtId="0" fontId="46" fillId="2" borderId="18" xfId="0" applyFont="1" applyFill="1" applyBorder="1"/>
    <xf numFmtId="171" fontId="48" fillId="0" borderId="18" xfId="1" applyNumberFormat="1" applyFont="1" applyBorder="1" applyAlignment="1">
      <alignment horizontal="center"/>
    </xf>
    <xf numFmtId="3" fontId="46" fillId="2" borderId="0" xfId="0" applyNumberFormat="1" applyFont="1" applyFill="1"/>
    <xf numFmtId="3" fontId="46" fillId="2" borderId="0" xfId="0" applyNumberFormat="1" applyFont="1" applyFill="1" applyAlignment="1" applyProtection="1">
      <alignment horizontal="center"/>
      <protection locked="0"/>
    </xf>
    <xf numFmtId="3" fontId="48" fillId="0" borderId="0" xfId="0" applyNumberFormat="1" applyFont="1"/>
    <xf numFmtId="0" fontId="46" fillId="2" borderId="0" xfId="0" applyFont="1" applyFill="1" applyProtection="1">
      <protection locked="0"/>
    </xf>
    <xf numFmtId="0" fontId="46" fillId="2" borderId="0" xfId="0" applyFont="1" applyFill="1" applyAlignment="1" applyProtection="1">
      <alignment horizontal="center"/>
      <protection locked="0"/>
    </xf>
    <xf numFmtId="0" fontId="46" fillId="2" borderId="0" xfId="0" quotePrefix="1" applyFont="1" applyFill="1" applyAlignment="1" applyProtection="1">
      <alignment horizontal="center"/>
      <protection locked="0"/>
    </xf>
    <xf numFmtId="3" fontId="46" fillId="2" borderId="0" xfId="0" quotePrefix="1" applyNumberFormat="1" applyFont="1" applyFill="1" applyAlignment="1" applyProtection="1">
      <alignment horizontal="center"/>
      <protection locked="0"/>
    </xf>
    <xf numFmtId="3" fontId="46" fillId="2" borderId="0" xfId="0" applyNumberFormat="1" applyFont="1" applyFill="1" applyProtection="1">
      <protection locked="0"/>
    </xf>
    <xf numFmtId="0" fontId="49" fillId="0" borderId="0" xfId="0" applyFont="1"/>
    <xf numFmtId="0" fontId="43" fillId="0" borderId="0" xfId="0" applyFont="1"/>
    <xf numFmtId="0" fontId="48" fillId="2" borderId="0" xfId="0" applyFont="1" applyFill="1" applyAlignment="1">
      <alignment vertical="top" wrapText="1"/>
    </xf>
    <xf numFmtId="0" fontId="43" fillId="0" borderId="0" xfId="0" applyFont="1" applyAlignment="1">
      <alignment horizontal="center"/>
    </xf>
    <xf numFmtId="0" fontId="50" fillId="15" borderId="0" xfId="0" applyFont="1" applyFill="1"/>
    <xf numFmtId="0" fontId="48" fillId="16" borderId="0" xfId="0" applyFont="1" applyFill="1"/>
    <xf numFmtId="0" fontId="46" fillId="2" borderId="0" xfId="0" quotePrefix="1" applyFont="1" applyFill="1" applyAlignment="1" applyProtection="1">
      <alignment horizontal="left"/>
      <protection locked="0"/>
    </xf>
    <xf numFmtId="0" fontId="48" fillId="0" borderId="0" xfId="0" quotePrefix="1" applyFont="1" applyAlignment="1">
      <alignment horizontal="left"/>
    </xf>
    <xf numFmtId="0" fontId="51" fillId="6" borderId="0" xfId="0" applyFont="1" applyFill="1"/>
    <xf numFmtId="0" fontId="48" fillId="0" borderId="0" xfId="0" quotePrefix="1" applyFont="1"/>
    <xf numFmtId="3" fontId="52" fillId="2" borderId="0" xfId="0" applyNumberFormat="1" applyFont="1" applyFill="1" applyAlignment="1" applyProtection="1">
      <alignment horizontal="center"/>
      <protection locked="0"/>
    </xf>
    <xf numFmtId="0" fontId="44" fillId="24" borderId="61" xfId="0" applyFont="1" applyFill="1" applyBorder="1" applyAlignment="1">
      <alignment horizontal="center"/>
    </xf>
    <xf numFmtId="0" fontId="44" fillId="24" borderId="62" xfId="0" applyFont="1" applyFill="1" applyBorder="1" applyAlignment="1">
      <alignment horizontal="center"/>
    </xf>
    <xf numFmtId="0" fontId="44" fillId="24" borderId="63" xfId="0" applyFont="1" applyFill="1" applyBorder="1" applyAlignment="1">
      <alignment horizontal="center"/>
    </xf>
    <xf numFmtId="178" fontId="1" fillId="25" borderId="18" xfId="0" applyNumberFormat="1" applyFont="1" applyFill="1" applyBorder="1"/>
    <xf numFmtId="0" fontId="45" fillId="2" borderId="3" xfId="0" applyFont="1" applyFill="1" applyBorder="1" applyAlignment="1">
      <alignment vertical="center"/>
    </xf>
    <xf numFmtId="0" fontId="45" fillId="2" borderId="4" xfId="0" applyFont="1" applyFill="1" applyBorder="1" applyAlignment="1">
      <alignment vertical="center"/>
    </xf>
    <xf numFmtId="0" fontId="43" fillId="0" borderId="61" xfId="0" applyFont="1" applyBorder="1"/>
    <xf numFmtId="0" fontId="43" fillId="0" borderId="62" xfId="0" applyFont="1" applyBorder="1"/>
    <xf numFmtId="0" fontId="45" fillId="2" borderId="60" xfId="0" applyFont="1" applyFill="1" applyBorder="1"/>
    <xf numFmtId="0" fontId="45" fillId="2" borderId="0" xfId="0" applyFont="1" applyFill="1"/>
    <xf numFmtId="0" fontId="45" fillId="2" borderId="61" xfId="0" applyFont="1" applyFill="1" applyBorder="1" applyAlignment="1">
      <alignment horizontal="center"/>
    </xf>
    <xf numFmtId="0" fontId="45" fillId="2" borderId="62" xfId="0" applyFont="1" applyFill="1" applyBorder="1" applyAlignment="1">
      <alignment horizontal="center"/>
    </xf>
    <xf numFmtId="0" fontId="45" fillId="2" borderId="63" xfId="0" applyFont="1" applyFill="1" applyBorder="1" applyAlignment="1">
      <alignment horizontal="center"/>
    </xf>
    <xf numFmtId="0" fontId="45" fillId="2" borderId="18" xfId="0" applyFont="1" applyFill="1" applyBorder="1" applyAlignment="1">
      <alignment horizontal="center"/>
    </xf>
    <xf numFmtId="0" fontId="48" fillId="0" borderId="67" xfId="0" applyFont="1" applyBorder="1"/>
    <xf numFmtId="0" fontId="45" fillId="2" borderId="40" xfId="0" applyFont="1" applyFill="1" applyBorder="1" applyAlignment="1">
      <alignment horizontal="center"/>
    </xf>
    <xf numFmtId="0" fontId="45" fillId="2" borderId="19" xfId="0" applyFont="1" applyFill="1" applyBorder="1" applyAlignment="1">
      <alignment horizontal="center"/>
    </xf>
    <xf numFmtId="0" fontId="43" fillId="28" borderId="61" xfId="0" applyFont="1" applyFill="1" applyBorder="1" applyAlignment="1">
      <alignment horizontal="center"/>
    </xf>
    <xf numFmtId="0" fontId="43" fillId="28" borderId="62" xfId="0" applyFont="1" applyFill="1" applyBorder="1" applyAlignment="1">
      <alignment horizontal="center"/>
    </xf>
    <xf numFmtId="0" fontId="43" fillId="32" borderId="61" xfId="0" applyFont="1" applyFill="1" applyBorder="1" applyAlignment="1">
      <alignment horizontal="center"/>
    </xf>
    <xf numFmtId="0" fontId="43" fillId="32" borderId="62" xfId="0" applyFont="1" applyFill="1" applyBorder="1" applyAlignment="1">
      <alignment horizontal="center"/>
    </xf>
    <xf numFmtId="170" fontId="0" fillId="32" borderId="18" xfId="0" applyNumberFormat="1" applyFill="1" applyBorder="1"/>
    <xf numFmtId="178" fontId="46" fillId="33" borderId="18" xfId="0" applyNumberFormat="1" applyFont="1" applyFill="1" applyBorder="1"/>
    <xf numFmtId="0" fontId="43" fillId="32" borderId="63" xfId="0" applyFont="1" applyFill="1" applyBorder="1" applyAlignment="1">
      <alignment horizontal="center"/>
    </xf>
    <xf numFmtId="178" fontId="48" fillId="32" borderId="18" xfId="0" applyNumberFormat="1" applyFont="1" applyFill="1" applyBorder="1"/>
    <xf numFmtId="0" fontId="48" fillId="0" borderId="0" xfId="0" applyFont="1" applyAlignment="1">
      <alignment horizontal="center"/>
    </xf>
    <xf numFmtId="0" fontId="43" fillId="0" borderId="18" xfId="0" applyFont="1" applyBorder="1" applyAlignment="1">
      <alignment horizontal="center"/>
    </xf>
    <xf numFmtId="0" fontId="48" fillId="0" borderId="18" xfId="0" applyFont="1" applyBorder="1" applyAlignment="1">
      <alignment horizontal="center"/>
    </xf>
    <xf numFmtId="0" fontId="45" fillId="2" borderId="69" xfId="0" applyFont="1" applyFill="1" applyBorder="1" applyAlignment="1">
      <alignment horizontal="center"/>
    </xf>
    <xf numFmtId="10" fontId="46" fillId="2" borderId="72" xfId="0" applyNumberFormat="1" applyFont="1" applyFill="1" applyBorder="1" applyAlignment="1">
      <alignment horizontal="center"/>
    </xf>
    <xf numFmtId="178" fontId="46" fillId="2" borderId="63" xfId="0" applyNumberFormat="1" applyFont="1" applyFill="1" applyBorder="1"/>
    <xf numFmtId="0" fontId="43" fillId="4" borderId="62" xfId="0" applyFont="1" applyFill="1" applyBorder="1" applyAlignment="1">
      <alignment horizontal="center"/>
    </xf>
    <xf numFmtId="0" fontId="20" fillId="0" borderId="18" xfId="0" applyFont="1" applyBorder="1" applyAlignment="1">
      <alignment horizontal="center"/>
    </xf>
    <xf numFmtId="0" fontId="35" fillId="20" borderId="18" xfId="0" applyFont="1" applyFill="1" applyBorder="1" applyAlignment="1">
      <alignment wrapText="1"/>
    </xf>
    <xf numFmtId="0" fontId="0" fillId="0" borderId="18" xfId="0" applyBorder="1" applyAlignment="1">
      <alignment wrapText="1"/>
    </xf>
    <xf numFmtId="0" fontId="0" fillId="0" borderId="0" xfId="0" applyAlignment="1">
      <alignment wrapText="1"/>
    </xf>
    <xf numFmtId="3" fontId="4" fillId="7" borderId="77" xfId="1" applyNumberFormat="1" applyFill="1" applyBorder="1" applyAlignment="1" applyProtection="1">
      <alignment horizontal="center"/>
    </xf>
    <xf numFmtId="3" fontId="4" fillId="7" borderId="78" xfId="1" applyNumberFormat="1" applyFill="1" applyBorder="1" applyAlignment="1" applyProtection="1">
      <alignment horizontal="center"/>
    </xf>
    <xf numFmtId="178" fontId="46" fillId="35" borderId="18" xfId="0" applyNumberFormat="1" applyFont="1" applyFill="1" applyBorder="1"/>
    <xf numFmtId="0" fontId="45" fillId="35" borderId="68" xfId="0" applyFont="1" applyFill="1" applyBorder="1" applyAlignment="1">
      <alignment horizontal="center"/>
    </xf>
    <xf numFmtId="0" fontId="45" fillId="35" borderId="76" xfId="0" applyFont="1" applyFill="1" applyBorder="1" applyAlignment="1">
      <alignment horizontal="center"/>
    </xf>
    <xf numFmtId="0" fontId="43" fillId="28" borderId="63" xfId="0" applyFont="1" applyFill="1" applyBorder="1" applyAlignment="1">
      <alignment horizontal="center"/>
    </xf>
    <xf numFmtId="178" fontId="48" fillId="31" borderId="18" xfId="0" applyNumberFormat="1" applyFont="1" applyFill="1" applyBorder="1"/>
    <xf numFmtId="178" fontId="48" fillId="28" borderId="18" xfId="0" applyNumberFormat="1" applyFont="1" applyFill="1" applyBorder="1"/>
    <xf numFmtId="0" fontId="43" fillId="29" borderId="61" xfId="0" applyFont="1" applyFill="1" applyBorder="1" applyAlignment="1">
      <alignment horizontal="center"/>
    </xf>
    <xf numFmtId="0" fontId="43" fillId="29" borderId="62" xfId="0" applyFont="1" applyFill="1" applyBorder="1" applyAlignment="1">
      <alignment horizontal="center"/>
    </xf>
    <xf numFmtId="0" fontId="43" fillId="29" borderId="63" xfId="0" applyFont="1" applyFill="1" applyBorder="1" applyAlignment="1">
      <alignment horizontal="center"/>
    </xf>
    <xf numFmtId="178" fontId="48" fillId="29" borderId="18" xfId="0" applyNumberFormat="1" applyFont="1" applyFill="1" applyBorder="1"/>
    <xf numFmtId="0" fontId="43" fillId="28" borderId="40" xfId="0" applyFont="1" applyFill="1" applyBorder="1" applyAlignment="1">
      <alignment horizontal="center"/>
    </xf>
    <xf numFmtId="0" fontId="43" fillId="28" borderId="19" xfId="0" applyFont="1" applyFill="1" applyBorder="1" applyAlignment="1">
      <alignment horizontal="center"/>
    </xf>
    <xf numFmtId="170" fontId="48" fillId="28" borderId="18" xfId="0" applyNumberFormat="1" applyFont="1" applyFill="1" applyBorder="1"/>
    <xf numFmtId="0" fontId="43" fillId="4" borderId="61" xfId="0" applyFont="1" applyFill="1" applyBorder="1" applyAlignment="1">
      <alignment horizontal="center"/>
    </xf>
    <xf numFmtId="0" fontId="2" fillId="32" borderId="61" xfId="0" applyFont="1" applyFill="1" applyBorder="1" applyAlignment="1">
      <alignment horizontal="center"/>
    </xf>
    <xf numFmtId="0" fontId="8" fillId="32" borderId="62" xfId="0" applyFont="1" applyFill="1" applyBorder="1" applyAlignment="1">
      <alignment horizontal="center"/>
    </xf>
    <xf numFmtId="0" fontId="42" fillId="0" borderId="24" xfId="0" applyFont="1" applyBorder="1" applyAlignment="1">
      <alignment horizontal="center"/>
    </xf>
    <xf numFmtId="0" fontId="42" fillId="0" borderId="74" xfId="0" applyFont="1" applyBorder="1" applyAlignment="1">
      <alignment horizontal="center"/>
    </xf>
    <xf numFmtId="173" fontId="42" fillId="0" borderId="74" xfId="0" applyNumberFormat="1" applyFont="1" applyBorder="1" applyAlignment="1">
      <alignment horizontal="center"/>
    </xf>
    <xf numFmtId="0" fontId="43" fillId="2" borderId="72" xfId="0" applyFont="1" applyFill="1" applyBorder="1" applyAlignment="1">
      <alignment horizontal="center" vertical="center" wrapText="1"/>
    </xf>
    <xf numFmtId="0" fontId="43" fillId="30" borderId="61" xfId="0" applyFont="1" applyFill="1" applyBorder="1"/>
    <xf numFmtId="0" fontId="43" fillId="30" borderId="62" xfId="0" applyFont="1" applyFill="1" applyBorder="1"/>
    <xf numFmtId="0" fontId="43" fillId="30" borderId="63" xfId="0" applyFont="1" applyFill="1" applyBorder="1"/>
    <xf numFmtId="171" fontId="48" fillId="30" borderId="18" xfId="1" applyNumberFormat="1" applyFont="1" applyFill="1" applyBorder="1" applyAlignment="1">
      <alignment horizontal="center"/>
    </xf>
    <xf numFmtId="10" fontId="48" fillId="30" borderId="79" xfId="1" applyNumberFormat="1" applyFont="1" applyFill="1" applyBorder="1" applyAlignment="1">
      <alignment horizontal="center"/>
    </xf>
    <xf numFmtId="10" fontId="48" fillId="30" borderId="65" xfId="1" applyNumberFormat="1" applyFont="1" applyFill="1" applyBorder="1" applyAlignment="1">
      <alignment horizontal="center"/>
    </xf>
    <xf numFmtId="0" fontId="43" fillId="0" borderId="69" xfId="0" applyFont="1" applyBorder="1"/>
    <xf numFmtId="0" fontId="43" fillId="0" borderId="40" xfId="0" applyFont="1" applyBorder="1"/>
    <xf numFmtId="173" fontId="43" fillId="0" borderId="40" xfId="0" applyNumberFormat="1" applyFont="1" applyBorder="1" applyAlignment="1">
      <alignment vertical="center"/>
    </xf>
    <xf numFmtId="0" fontId="43" fillId="30" borderId="67" xfId="0" applyFont="1" applyFill="1" applyBorder="1"/>
    <xf numFmtId="0" fontId="43" fillId="30" borderId="68" xfId="0" applyFont="1" applyFill="1" applyBorder="1"/>
    <xf numFmtId="0" fontId="43" fillId="30" borderId="76" xfId="0" applyFont="1" applyFill="1" applyBorder="1"/>
    <xf numFmtId="0" fontId="43" fillId="0" borderId="63" xfId="0" applyFont="1" applyBorder="1"/>
    <xf numFmtId="0" fontId="24" fillId="13" borderId="0" xfId="0" applyFont="1" applyFill="1" applyAlignment="1">
      <alignment horizontal="center" vertical="center"/>
    </xf>
    <xf numFmtId="0" fontId="14" fillId="11" borderId="0" xfId="0" applyFont="1" applyFill="1" applyAlignment="1">
      <alignment horizontal="center" vertical="center"/>
    </xf>
    <xf numFmtId="14" fontId="19" fillId="11" borderId="0" xfId="0" applyNumberFormat="1" applyFont="1" applyFill="1" applyAlignment="1">
      <alignment horizontal="center" vertical="center"/>
    </xf>
    <xf numFmtId="167" fontId="13" fillId="4" borderId="18" xfId="0" applyNumberFormat="1" applyFont="1" applyFill="1" applyBorder="1"/>
    <xf numFmtId="0" fontId="54" fillId="0" borderId="0" xfId="0" applyFont="1"/>
    <xf numFmtId="3" fontId="45" fillId="2" borderId="0" xfId="0" applyNumberFormat="1" applyFont="1" applyFill="1" applyAlignment="1" applyProtection="1">
      <alignment horizontal="center"/>
      <protection locked="0"/>
    </xf>
    <xf numFmtId="0" fontId="48" fillId="0" borderId="80" xfId="0" applyFont="1" applyBorder="1"/>
    <xf numFmtId="0" fontId="43" fillId="23" borderId="81" xfId="0" applyFont="1" applyFill="1" applyBorder="1" applyAlignment="1">
      <alignment horizontal="center"/>
    </xf>
    <xf numFmtId="0" fontId="43" fillId="23" borderId="82" xfId="0" applyFont="1" applyFill="1" applyBorder="1" applyAlignment="1">
      <alignment horizontal="center"/>
    </xf>
    <xf numFmtId="170" fontId="48" fillId="23" borderId="57" xfId="0" applyNumberFormat="1" applyFont="1" applyFill="1" applyBorder="1"/>
    <xf numFmtId="170" fontId="48" fillId="23" borderId="59" xfId="0" applyNumberFormat="1" applyFont="1" applyFill="1" applyBorder="1"/>
    <xf numFmtId="0" fontId="43" fillId="0" borderId="24" xfId="0" applyFont="1" applyBorder="1"/>
    <xf numFmtId="0" fontId="0" fillId="0" borderId="80" xfId="0" applyBorder="1"/>
    <xf numFmtId="0" fontId="2" fillId="0" borderId="74" xfId="0" applyFont="1" applyBorder="1"/>
    <xf numFmtId="0" fontId="0" fillId="0" borderId="74" xfId="0" applyBorder="1"/>
    <xf numFmtId="0" fontId="0" fillId="0" borderId="83" xfId="0" applyBorder="1" applyAlignment="1">
      <alignment horizontal="center"/>
    </xf>
    <xf numFmtId="0" fontId="42" fillId="28" borderId="61" xfId="0" applyFont="1" applyFill="1" applyBorder="1" applyAlignment="1">
      <alignment horizontal="center"/>
    </xf>
    <xf numFmtId="0" fontId="42" fillId="28" borderId="62" xfId="0" applyFont="1" applyFill="1" applyBorder="1" applyAlignment="1">
      <alignment horizontal="center"/>
    </xf>
    <xf numFmtId="178" fontId="0" fillId="28" borderId="18" xfId="0" applyNumberFormat="1" applyFill="1" applyBorder="1"/>
    <xf numFmtId="0" fontId="43" fillId="16" borderId="61" xfId="0" applyFont="1" applyFill="1" applyBorder="1" applyAlignment="1">
      <alignment horizontal="center"/>
    </xf>
    <xf numFmtId="0" fontId="43" fillId="16" borderId="62" xfId="0" applyFont="1" applyFill="1" applyBorder="1" applyAlignment="1">
      <alignment horizontal="center"/>
    </xf>
    <xf numFmtId="0" fontId="43" fillId="16" borderId="63" xfId="0" applyFont="1" applyFill="1" applyBorder="1" applyAlignment="1">
      <alignment horizontal="center"/>
    </xf>
    <xf numFmtId="178" fontId="48" fillId="16" borderId="18" xfId="0" applyNumberFormat="1" applyFont="1" applyFill="1" applyBorder="1"/>
    <xf numFmtId="178" fontId="48" fillId="16" borderId="58" xfId="0" applyNumberFormat="1" applyFont="1" applyFill="1" applyBorder="1"/>
    <xf numFmtId="178" fontId="0" fillId="37" borderId="18" xfId="0" applyNumberFormat="1" applyFill="1" applyBorder="1"/>
    <xf numFmtId="0" fontId="43" fillId="37" borderId="18" xfId="0" applyFont="1" applyFill="1" applyBorder="1" applyAlignment="1">
      <alignment horizontal="center"/>
    </xf>
    <xf numFmtId="0" fontId="43" fillId="37" borderId="61" xfId="0" applyFont="1" applyFill="1" applyBorder="1" applyAlignment="1">
      <alignment horizontal="center"/>
    </xf>
    <xf numFmtId="0" fontId="43" fillId="37" borderId="62" xfId="0" applyFont="1" applyFill="1" applyBorder="1" applyAlignment="1">
      <alignment horizontal="center"/>
    </xf>
    <xf numFmtId="0" fontId="43" fillId="37" borderId="63" xfId="0" applyFont="1" applyFill="1" applyBorder="1" applyAlignment="1">
      <alignment horizontal="center"/>
    </xf>
    <xf numFmtId="0" fontId="55" fillId="0" borderId="0" xfId="0" applyFont="1"/>
    <xf numFmtId="3" fontId="59" fillId="38" borderId="0" xfId="0" applyNumberFormat="1" applyFont="1" applyFill="1" applyAlignment="1" applyProtection="1">
      <alignment horizontal="center"/>
      <protection locked="0"/>
    </xf>
    <xf numFmtId="3" fontId="56" fillId="38" borderId="0" xfId="0" applyNumberFormat="1" applyFont="1" applyFill="1" applyAlignment="1" applyProtection="1">
      <alignment horizontal="center"/>
      <protection locked="0"/>
    </xf>
    <xf numFmtId="0" fontId="58" fillId="38" borderId="0" xfId="0" applyFont="1" applyFill="1" applyAlignment="1" applyProtection="1">
      <alignment horizontal="center"/>
      <protection locked="0"/>
    </xf>
    <xf numFmtId="0" fontId="60" fillId="0" borderId="0" xfId="0" applyFont="1"/>
    <xf numFmtId="9" fontId="13" fillId="39" borderId="18" xfId="0" applyNumberFormat="1" applyFont="1" applyFill="1" applyBorder="1" applyAlignment="1">
      <alignment vertical="center"/>
    </xf>
    <xf numFmtId="3" fontId="59" fillId="43" borderId="0" xfId="0" applyNumberFormat="1" applyFont="1" applyFill="1" applyAlignment="1" applyProtection="1">
      <alignment horizontal="center"/>
      <protection locked="0"/>
    </xf>
    <xf numFmtId="3" fontId="61" fillId="38" borderId="0" xfId="0" applyNumberFormat="1" applyFont="1" applyFill="1" applyAlignment="1" applyProtection="1">
      <alignment horizontal="center"/>
      <protection locked="0"/>
    </xf>
    <xf numFmtId="3" fontId="56" fillId="43" borderId="0" xfId="0" applyNumberFormat="1" applyFont="1" applyFill="1" applyAlignment="1" applyProtection="1">
      <alignment horizontal="center"/>
      <protection locked="0"/>
    </xf>
    <xf numFmtId="0" fontId="61" fillId="38" borderId="0" xfId="0" applyFont="1" applyFill="1" applyAlignment="1" applyProtection="1">
      <alignment horizontal="center"/>
      <protection locked="0"/>
    </xf>
    <xf numFmtId="0" fontId="58" fillId="43" borderId="0" xfId="0" applyFont="1" applyFill="1" applyAlignment="1" applyProtection="1">
      <alignment horizontal="center"/>
      <protection locked="0"/>
    </xf>
    <xf numFmtId="0" fontId="56" fillId="41" borderId="0" xfId="0" applyFont="1" applyFill="1" applyAlignment="1">
      <alignment horizontal="center"/>
    </xf>
    <xf numFmtId="3" fontId="60" fillId="0" borderId="0" xfId="0" applyNumberFormat="1" applyFont="1"/>
    <xf numFmtId="3" fontId="60" fillId="7" borderId="0" xfId="0" applyNumberFormat="1" applyFont="1" applyFill="1"/>
    <xf numFmtId="0" fontId="57" fillId="42" borderId="0" xfId="0" applyFont="1" applyFill="1" applyAlignment="1">
      <alignment horizontal="center"/>
    </xf>
    <xf numFmtId="179" fontId="57" fillId="42" borderId="0" xfId="0" applyNumberFormat="1" applyFont="1" applyFill="1" applyAlignment="1">
      <alignment horizontal="center"/>
    </xf>
    <xf numFmtId="178" fontId="58" fillId="41" borderId="0" xfId="0" applyNumberFormat="1" applyFont="1" applyFill="1"/>
    <xf numFmtId="0" fontId="57" fillId="45" borderId="61" xfId="0" applyFont="1" applyFill="1" applyBorder="1" applyAlignment="1">
      <alignment horizontal="center"/>
    </xf>
    <xf numFmtId="0" fontId="56" fillId="46" borderId="61" xfId="0" applyFont="1" applyFill="1" applyBorder="1" applyAlignment="1">
      <alignment horizontal="center"/>
    </xf>
    <xf numFmtId="0" fontId="56" fillId="46" borderId="62" xfId="0" applyFont="1" applyFill="1" applyBorder="1" applyAlignment="1">
      <alignment horizontal="center"/>
    </xf>
    <xf numFmtId="0" fontId="57" fillId="45" borderId="62" xfId="0" applyFont="1" applyFill="1" applyBorder="1" applyAlignment="1">
      <alignment horizontal="center"/>
    </xf>
    <xf numFmtId="0" fontId="56" fillId="46" borderId="63" xfId="0" applyFont="1" applyFill="1" applyBorder="1" applyAlignment="1">
      <alignment horizontal="center"/>
    </xf>
    <xf numFmtId="178" fontId="58" fillId="45" borderId="18" xfId="0" applyNumberFormat="1" applyFont="1" applyFill="1" applyBorder="1"/>
    <xf numFmtId="178" fontId="58" fillId="46" borderId="18" xfId="0" applyNumberFormat="1" applyFont="1" applyFill="1" applyBorder="1"/>
    <xf numFmtId="178" fontId="60" fillId="45" borderId="18" xfId="0" applyNumberFormat="1" applyFont="1" applyFill="1" applyBorder="1"/>
    <xf numFmtId="178" fontId="60" fillId="45" borderId="58" xfId="0" applyNumberFormat="1" applyFont="1" applyFill="1" applyBorder="1"/>
    <xf numFmtId="179" fontId="57" fillId="47" borderId="18" xfId="0" applyNumberFormat="1" applyFont="1" applyFill="1" applyBorder="1" applyAlignment="1">
      <alignment horizontal="center"/>
    </xf>
    <xf numFmtId="0" fontId="62" fillId="0" borderId="18" xfId="0" applyFont="1" applyBorder="1"/>
    <xf numFmtId="167" fontId="62" fillId="38" borderId="18" xfId="0" applyNumberFormat="1" applyFont="1" applyFill="1" applyBorder="1"/>
    <xf numFmtId="0" fontId="17" fillId="9" borderId="0" xfId="2" applyFont="1" applyFill="1" applyBorder="1" applyAlignment="1" applyProtection="1">
      <alignment horizontal="center" vertical="top" wrapText="1"/>
    </xf>
    <xf numFmtId="0" fontId="13" fillId="4" borderId="18" xfId="0" applyFont="1" applyFill="1" applyBorder="1"/>
    <xf numFmtId="0" fontId="63"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vertical="center"/>
    </xf>
    <xf numFmtId="0" fontId="32" fillId="0" borderId="0" xfId="2" applyFont="1"/>
    <xf numFmtId="0" fontId="65" fillId="0" borderId="0" xfId="0" applyFont="1"/>
    <xf numFmtId="0" fontId="66" fillId="0" borderId="0" xfId="0" applyFont="1"/>
    <xf numFmtId="178" fontId="46" fillId="19" borderId="18" xfId="0" applyNumberFormat="1" applyFont="1" applyFill="1" applyBorder="1"/>
    <xf numFmtId="0" fontId="12" fillId="23" borderId="0" xfId="0" applyFont="1" applyFill="1" applyAlignment="1">
      <alignment horizontal="right"/>
    </xf>
    <xf numFmtId="14" fontId="12" fillId="23" borderId="0" xfId="0" applyNumberFormat="1" applyFont="1" applyFill="1" applyAlignment="1">
      <alignment horizontal="right"/>
    </xf>
    <xf numFmtId="0" fontId="24" fillId="0" borderId="0" xfId="0" applyFont="1" applyAlignment="1">
      <alignment horizontal="right"/>
    </xf>
    <xf numFmtId="0" fontId="45" fillId="2" borderId="76" xfId="0" applyFont="1" applyFill="1" applyBorder="1" applyAlignment="1">
      <alignment horizontal="center"/>
    </xf>
    <xf numFmtId="0" fontId="45" fillId="2" borderId="68" xfId="0" applyFont="1" applyFill="1" applyBorder="1" applyAlignment="1">
      <alignment horizontal="center"/>
    </xf>
    <xf numFmtId="0" fontId="45" fillId="2" borderId="0" xfId="0" applyFont="1" applyFill="1" applyAlignment="1">
      <alignment horizontal="center"/>
    </xf>
    <xf numFmtId="0" fontId="67" fillId="0" borderId="0" xfId="0" applyFont="1"/>
    <xf numFmtId="0" fontId="21" fillId="8" borderId="61" xfId="0" applyFont="1" applyFill="1" applyBorder="1"/>
    <xf numFmtId="0" fontId="21" fillId="8" borderId="40" xfId="0" applyFont="1" applyFill="1" applyBorder="1"/>
    <xf numFmtId="0" fontId="21" fillId="8" borderId="68" xfId="0" applyFont="1" applyFill="1" applyBorder="1"/>
    <xf numFmtId="0" fontId="64" fillId="0" borderId="0" xfId="0" applyFont="1"/>
    <xf numFmtId="0" fontId="64" fillId="0" borderId="72" xfId="0" applyFont="1" applyBorder="1"/>
    <xf numFmtId="0" fontId="64" fillId="0" borderId="66" xfId="0" applyFont="1" applyBorder="1"/>
    <xf numFmtId="0" fontId="64" fillId="0" borderId="73" xfId="0" applyFont="1" applyBorder="1"/>
    <xf numFmtId="0" fontId="43" fillId="32" borderId="18" xfId="0" applyFont="1" applyFill="1" applyBorder="1" applyAlignment="1">
      <alignment horizontal="left" wrapText="1"/>
    </xf>
    <xf numFmtId="0" fontId="43" fillId="32" borderId="18" xfId="0" applyFont="1" applyFill="1" applyBorder="1" applyAlignment="1">
      <alignment horizontal="center" vertical="center" wrapText="1"/>
    </xf>
    <xf numFmtId="1" fontId="11" fillId="4" borderId="18" xfId="0" applyNumberFormat="1" applyFont="1" applyFill="1" applyBorder="1" applyAlignment="1">
      <alignment horizontal="center" wrapText="1"/>
    </xf>
    <xf numFmtId="0" fontId="13" fillId="0" borderId="18" xfId="0" applyFont="1" applyBorder="1" applyAlignment="1">
      <alignment horizontal="left" vertical="center"/>
    </xf>
    <xf numFmtId="0" fontId="65" fillId="0" borderId="0" xfId="0" applyFont="1" applyAlignment="1">
      <alignment vertical="center"/>
    </xf>
    <xf numFmtId="10" fontId="46" fillId="33" borderId="18" xfId="0" applyNumberFormat="1" applyFont="1" applyFill="1" applyBorder="1" applyAlignment="1">
      <alignment horizontal="center"/>
    </xf>
    <xf numFmtId="0" fontId="45" fillId="49" borderId="62" xfId="0" applyFont="1" applyFill="1" applyBorder="1" applyAlignment="1">
      <alignment horizontal="center"/>
    </xf>
    <xf numFmtId="0" fontId="45" fillId="49" borderId="63" xfId="0" applyFont="1" applyFill="1" applyBorder="1" applyAlignment="1">
      <alignment horizontal="center"/>
    </xf>
    <xf numFmtId="178" fontId="46" fillId="49" borderId="18" xfId="0" applyNumberFormat="1" applyFont="1" applyFill="1" applyBorder="1"/>
    <xf numFmtId="0" fontId="69" fillId="49" borderId="63" xfId="0" applyFont="1" applyFill="1" applyBorder="1" applyAlignment="1">
      <alignment horizontal="center" wrapText="1"/>
    </xf>
    <xf numFmtId="0" fontId="48" fillId="2" borderId="0" xfId="0" applyFont="1" applyFill="1" applyAlignment="1">
      <alignment horizontal="center" vertical="top" wrapText="1"/>
    </xf>
    <xf numFmtId="0" fontId="64" fillId="0" borderId="72" xfId="0" applyFont="1" applyBorder="1" applyAlignment="1">
      <alignment horizontal="left"/>
    </xf>
    <xf numFmtId="0" fontId="64" fillId="0" borderId="73" xfId="0" applyFont="1" applyBorder="1" applyAlignment="1">
      <alignment horizontal="left"/>
    </xf>
    <xf numFmtId="0" fontId="24" fillId="0" borderId="0" xfId="0" applyFont="1" applyAlignment="1">
      <alignment horizontal="left" vertical="top" wrapText="1"/>
    </xf>
    <xf numFmtId="0" fontId="47" fillId="2" borderId="0" xfId="0" quotePrefix="1" applyFont="1" applyFill="1" applyAlignment="1" applyProtection="1">
      <alignment horizontal="center" vertical="center"/>
      <protection locked="0"/>
    </xf>
    <xf numFmtId="0" fontId="0" fillId="32" borderId="0" xfId="0" applyFill="1"/>
    <xf numFmtId="0" fontId="32" fillId="32" borderId="0" xfId="2" applyFont="1" applyFill="1"/>
    <xf numFmtId="0" fontId="45" fillId="2" borderId="18" xfId="0" applyFont="1" applyFill="1" applyBorder="1" applyAlignment="1">
      <alignment horizontal="center" vertical="center" wrapText="1"/>
    </xf>
    <xf numFmtId="0" fontId="71" fillId="4" borderId="0" xfId="0" applyFont="1" applyFill="1"/>
    <xf numFmtId="0" fontId="0" fillId="4" borderId="0" xfId="0" applyFill="1"/>
    <xf numFmtId="0" fontId="45" fillId="35" borderId="62" xfId="0" applyFont="1" applyFill="1" applyBorder="1" applyAlignment="1">
      <alignment horizontal="center"/>
    </xf>
    <xf numFmtId="0" fontId="48" fillId="51" borderId="0" xfId="0" applyFont="1" applyFill="1" applyAlignment="1">
      <alignment horizontal="center"/>
    </xf>
    <xf numFmtId="0" fontId="45" fillId="52" borderId="62" xfId="0" applyFont="1" applyFill="1" applyBorder="1" applyAlignment="1">
      <alignment horizontal="center"/>
    </xf>
    <xf numFmtId="0" fontId="45" fillId="52" borderId="63" xfId="0" applyFont="1" applyFill="1" applyBorder="1" applyAlignment="1">
      <alignment horizontal="center"/>
    </xf>
    <xf numFmtId="0" fontId="69" fillId="52" borderId="63" xfId="0" applyFont="1" applyFill="1" applyBorder="1" applyAlignment="1">
      <alignment horizontal="center" wrapText="1"/>
    </xf>
    <xf numFmtId="178" fontId="46" fillId="52" borderId="18" xfId="0" applyNumberFormat="1" applyFont="1" applyFill="1" applyBorder="1"/>
    <xf numFmtId="171" fontId="4" fillId="30" borderId="18" xfId="1" applyNumberFormat="1" applyFill="1" applyBorder="1" applyAlignment="1">
      <alignment horizontal="center"/>
    </xf>
    <xf numFmtId="0" fontId="68" fillId="2" borderId="0" xfId="0" applyFont="1" applyFill="1" applyAlignment="1" applyProtection="1">
      <alignment horizontal="center" vertical="top" wrapText="1"/>
      <protection locked="0"/>
    </xf>
    <xf numFmtId="0" fontId="68" fillId="2" borderId="0" xfId="0" applyFont="1" applyFill="1" applyAlignment="1" applyProtection="1">
      <alignment vertical="top" wrapText="1"/>
      <protection locked="0"/>
    </xf>
    <xf numFmtId="10" fontId="13" fillId="40" borderId="18" xfId="0" applyNumberFormat="1" applyFont="1" applyFill="1" applyBorder="1" applyAlignment="1">
      <alignment horizontal="right" vertical="center"/>
    </xf>
    <xf numFmtId="10" fontId="13" fillId="4" borderId="18" xfId="0" applyNumberFormat="1" applyFont="1" applyFill="1" applyBorder="1"/>
    <xf numFmtId="0" fontId="13" fillId="24" borderId="18" xfId="0" applyFont="1" applyFill="1" applyBorder="1" applyAlignment="1">
      <alignment wrapText="1"/>
    </xf>
    <xf numFmtId="0" fontId="13" fillId="7" borderId="18" xfId="0" applyFont="1" applyFill="1" applyBorder="1" applyAlignment="1">
      <alignment vertical="center" wrapText="1"/>
    </xf>
    <xf numFmtId="0" fontId="43" fillId="50" borderId="80" xfId="0" applyFont="1" applyFill="1" applyBorder="1" applyAlignment="1">
      <alignment horizontal="center"/>
    </xf>
    <xf numFmtId="0" fontId="48" fillId="0" borderId="84" xfId="0" applyFont="1" applyBorder="1"/>
    <xf numFmtId="0" fontId="48" fillId="2" borderId="74" xfId="0" applyFont="1" applyFill="1" applyBorder="1" applyAlignment="1">
      <alignment vertical="top" wrapText="1"/>
    </xf>
    <xf numFmtId="0" fontId="48" fillId="0" borderId="85" xfId="0" applyFont="1" applyBorder="1"/>
    <xf numFmtId="0" fontId="61" fillId="0" borderId="74" xfId="0" applyFont="1" applyBorder="1" applyAlignment="1">
      <alignment vertical="center"/>
    </xf>
    <xf numFmtId="0" fontId="61" fillId="0" borderId="85" xfId="0" applyFont="1" applyBorder="1" applyAlignment="1">
      <alignment vertical="center"/>
    </xf>
    <xf numFmtId="0" fontId="48" fillId="0" borderId="87" xfId="0" applyFont="1" applyBorder="1"/>
    <xf numFmtId="0" fontId="48" fillId="0" borderId="88" xfId="0" applyFont="1" applyBorder="1"/>
    <xf numFmtId="0" fontId="73" fillId="0" borderId="74" xfId="0" applyFont="1" applyBorder="1" applyAlignment="1">
      <alignment vertical="center"/>
    </xf>
    <xf numFmtId="0" fontId="48" fillId="0" borderId="86" xfId="0" applyFont="1" applyBorder="1"/>
    <xf numFmtId="0" fontId="73" fillId="0" borderId="0" xfId="0" applyFont="1" applyAlignment="1">
      <alignment vertical="center"/>
    </xf>
    <xf numFmtId="0" fontId="73" fillId="0" borderId="0" xfId="0" applyFont="1"/>
    <xf numFmtId="0" fontId="45" fillId="19" borderId="24" xfId="0" applyFont="1" applyFill="1" applyBorder="1" applyAlignment="1">
      <alignment horizontal="left"/>
    </xf>
    <xf numFmtId="0" fontId="45" fillId="19" borderId="80" xfId="0" applyFont="1" applyFill="1" applyBorder="1" applyAlignment="1">
      <alignment horizontal="right"/>
    </xf>
    <xf numFmtId="0" fontId="43" fillId="7" borderId="74" xfId="0" applyFont="1" applyFill="1" applyBorder="1" applyAlignment="1">
      <alignment horizontal="center"/>
    </xf>
    <xf numFmtId="0" fontId="76" fillId="0" borderId="0" xfId="0" applyFont="1"/>
    <xf numFmtId="0" fontId="24" fillId="0" borderId="0" xfId="0" applyFont="1" applyAlignment="1">
      <alignment horizontal="center" vertical="center"/>
    </xf>
    <xf numFmtId="0" fontId="77" fillId="0" borderId="0" xfId="0" applyFont="1" applyAlignment="1">
      <alignment vertical="center"/>
    </xf>
    <xf numFmtId="0" fontId="73" fillId="0" borderId="91" xfId="0" applyFont="1" applyBorder="1" applyAlignment="1">
      <alignment vertical="top"/>
    </xf>
    <xf numFmtId="0" fontId="3" fillId="0" borderId="0" xfId="0" applyFont="1" applyAlignment="1">
      <alignment vertical="center"/>
    </xf>
    <xf numFmtId="0" fontId="78" fillId="23" borderId="91" xfId="0" applyFont="1" applyFill="1" applyBorder="1" applyAlignment="1">
      <alignment horizontal="center" vertical="center"/>
    </xf>
    <xf numFmtId="10" fontId="78" fillId="23" borderId="91" xfId="0" applyNumberFormat="1" applyFont="1" applyFill="1" applyBorder="1" applyAlignment="1">
      <alignment horizontal="center" vertical="center"/>
    </xf>
    <xf numFmtId="0" fontId="80" fillId="0" borderId="0" xfId="0" applyFont="1" applyAlignment="1">
      <alignment vertical="center"/>
    </xf>
    <xf numFmtId="0" fontId="81" fillId="0" borderId="0" xfId="0" applyFont="1"/>
    <xf numFmtId="10" fontId="78" fillId="53" borderId="88" xfId="0" applyNumberFormat="1" applyFont="1" applyFill="1" applyBorder="1" applyAlignment="1">
      <alignment horizontal="center"/>
    </xf>
    <xf numFmtId="0" fontId="82" fillId="0" borderId="0" xfId="2" applyFont="1" applyAlignment="1">
      <alignment horizontal="left" vertical="center"/>
    </xf>
    <xf numFmtId="0" fontId="67" fillId="0" borderId="0" xfId="0" applyFont="1" applyAlignment="1">
      <alignment vertical="center"/>
    </xf>
    <xf numFmtId="178" fontId="48" fillId="29" borderId="61" xfId="0" applyNumberFormat="1" applyFont="1" applyFill="1" applyBorder="1"/>
    <xf numFmtId="0" fontId="43" fillId="29" borderId="89" xfId="0" applyFont="1" applyFill="1" applyBorder="1" applyAlignment="1">
      <alignment horizontal="center"/>
    </xf>
    <xf numFmtId="0" fontId="43" fillId="29" borderId="90" xfId="0" applyFont="1" applyFill="1" applyBorder="1" applyAlignment="1">
      <alignment horizontal="center"/>
    </xf>
    <xf numFmtId="0" fontId="43" fillId="29" borderId="91" xfId="0" applyFont="1" applyFill="1" applyBorder="1" applyAlignment="1">
      <alignment horizontal="center"/>
    </xf>
    <xf numFmtId="0" fontId="3" fillId="4" borderId="88" xfId="0" applyFont="1" applyFill="1" applyBorder="1" applyAlignment="1">
      <alignment horizontal="center"/>
    </xf>
    <xf numFmtId="0" fontId="83" fillId="0" borderId="0" xfId="0" applyFont="1"/>
    <xf numFmtId="0" fontId="0" fillId="0" borderId="0" xfId="0" applyAlignment="1">
      <alignment horizontal="left" vertical="top" wrapText="1"/>
    </xf>
    <xf numFmtId="0" fontId="11" fillId="0" borderId="75" xfId="0" applyFont="1" applyBorder="1" applyAlignment="1">
      <alignment horizontal="left"/>
    </xf>
    <xf numFmtId="0" fontId="11" fillId="0" borderId="67" xfId="0" applyFont="1" applyBorder="1" applyAlignment="1">
      <alignment horizontal="left"/>
    </xf>
    <xf numFmtId="0" fontId="11" fillId="0" borderId="66" xfId="0" applyFont="1" applyBorder="1" applyAlignment="1">
      <alignment horizontal="left"/>
    </xf>
    <xf numFmtId="0" fontId="11" fillId="0" borderId="73" xfId="0" applyFont="1" applyBorder="1" applyAlignment="1">
      <alignment horizontal="left"/>
    </xf>
    <xf numFmtId="0" fontId="11" fillId="0" borderId="61" xfId="0" applyFont="1" applyBorder="1"/>
    <xf numFmtId="0" fontId="11" fillId="0" borderId="63" xfId="0" applyFont="1" applyBorder="1"/>
    <xf numFmtId="0" fontId="11" fillId="0" borderId="68" xfId="0" applyFont="1" applyBorder="1" applyAlignment="1">
      <alignment horizontal="left"/>
    </xf>
    <xf numFmtId="0" fontId="11" fillId="0" borderId="66" xfId="0" applyFont="1" applyBorder="1"/>
    <xf numFmtId="178" fontId="46" fillId="34" borderId="18" xfId="0" applyNumberFormat="1" applyFont="1" applyFill="1" applyBorder="1"/>
    <xf numFmtId="0" fontId="84" fillId="0" borderId="0" xfId="0" applyFont="1" applyAlignment="1">
      <alignment horizontal="left" vertical="center" indent="1"/>
    </xf>
    <xf numFmtId="0" fontId="84" fillId="0" borderId="0" xfId="0" applyFont="1"/>
    <xf numFmtId="167" fontId="13" fillId="53" borderId="18" xfId="0" applyNumberFormat="1" applyFont="1" applyFill="1" applyBorder="1"/>
    <xf numFmtId="0" fontId="46" fillId="2" borderId="0" xfId="0" quotePrefix="1" applyFont="1" applyFill="1" applyProtection="1">
      <protection locked="0"/>
    </xf>
    <xf numFmtId="0" fontId="84" fillId="0" borderId="0" xfId="0" applyFont="1" applyAlignment="1">
      <alignment vertical="center"/>
    </xf>
    <xf numFmtId="0" fontId="85" fillId="0" borderId="0" xfId="0" applyFont="1" applyAlignment="1">
      <alignment vertical="center"/>
    </xf>
    <xf numFmtId="0" fontId="84" fillId="0" borderId="0" xfId="0" applyFont="1" applyAlignment="1">
      <alignment horizontal="left" vertical="center" indent="4"/>
    </xf>
    <xf numFmtId="0" fontId="9" fillId="0" borderId="0" xfId="2" applyAlignment="1">
      <alignment horizontal="left" vertical="center" indent="4"/>
    </xf>
    <xf numFmtId="0" fontId="78" fillId="0" borderId="0" xfId="0" applyFont="1" applyAlignment="1">
      <alignment vertical="center"/>
    </xf>
    <xf numFmtId="0" fontId="11" fillId="0" borderId="64" xfId="0" applyFont="1" applyBorder="1" applyAlignment="1">
      <alignment horizontal="left"/>
    </xf>
    <xf numFmtId="0" fontId="11" fillId="0" borderId="98" xfId="0" applyFont="1" applyBorder="1" applyAlignment="1">
      <alignment horizontal="left"/>
    </xf>
    <xf numFmtId="0" fontId="11" fillId="0" borderId="99" xfId="0" applyFont="1" applyBorder="1"/>
    <xf numFmtId="0" fontId="11" fillId="0" borderId="57" xfId="0" applyFont="1" applyBorder="1"/>
    <xf numFmtId="0" fontId="11" fillId="0" borderId="100" xfId="0" applyFont="1" applyBorder="1"/>
    <xf numFmtId="10" fontId="11" fillId="0" borderId="57" xfId="0" applyNumberFormat="1" applyFont="1" applyBorder="1"/>
    <xf numFmtId="0" fontId="11" fillId="0" borderId="64" xfId="0" applyFont="1" applyBorder="1"/>
    <xf numFmtId="167" fontId="11" fillId="0" borderId="65" xfId="0" applyNumberFormat="1" applyFont="1" applyBorder="1"/>
    <xf numFmtId="0" fontId="11" fillId="0" borderId="101" xfId="0" applyFont="1" applyBorder="1"/>
    <xf numFmtId="0" fontId="11" fillId="0" borderId="102" xfId="0" applyFont="1" applyBorder="1"/>
    <xf numFmtId="0" fontId="11" fillId="0" borderId="58" xfId="0" applyFont="1" applyBorder="1"/>
    <xf numFmtId="0" fontId="11" fillId="0" borderId="103" xfId="0" applyFont="1" applyBorder="1" applyAlignment="1">
      <alignment horizontal="left"/>
    </xf>
    <xf numFmtId="167" fontId="11" fillId="0" borderId="59" xfId="0" applyNumberFormat="1" applyFont="1" applyBorder="1"/>
    <xf numFmtId="169" fontId="11" fillId="32" borderId="57" xfId="0" applyNumberFormat="1" applyFont="1" applyFill="1" applyBorder="1"/>
    <xf numFmtId="0" fontId="37" fillId="0" borderId="0" xfId="0" applyFont="1"/>
    <xf numFmtId="0" fontId="37" fillId="23" borderId="24" xfId="0" applyFont="1" applyFill="1" applyBorder="1"/>
    <xf numFmtId="0" fontId="12" fillId="23" borderId="80" xfId="0" applyFont="1" applyFill="1" applyBorder="1"/>
    <xf numFmtId="0" fontId="12" fillId="23" borderId="84" xfId="0" applyFont="1" applyFill="1" applyBorder="1"/>
    <xf numFmtId="0" fontId="37" fillId="23" borderId="74" xfId="0" applyFont="1" applyFill="1" applyBorder="1"/>
    <xf numFmtId="0" fontId="12" fillId="23" borderId="0" xfId="0" applyFont="1" applyFill="1"/>
    <xf numFmtId="0" fontId="12" fillId="23" borderId="85" xfId="0" applyFont="1" applyFill="1" applyBorder="1"/>
    <xf numFmtId="0" fontId="46" fillId="2" borderId="0" xfId="0" applyFont="1" applyFill="1" applyAlignment="1" applyProtection="1">
      <alignment horizontal="center" vertical="center"/>
      <protection locked="0"/>
    </xf>
    <xf numFmtId="0" fontId="48" fillId="0" borderId="0" xfId="0" applyFont="1" applyAlignment="1">
      <alignment horizontal="center" vertical="center"/>
    </xf>
    <xf numFmtId="0" fontId="12" fillId="0" borderId="0" xfId="0" quotePrefix="1" applyFont="1"/>
    <xf numFmtId="0" fontId="78" fillId="4" borderId="80" xfId="0" applyFont="1" applyFill="1" applyBorder="1" applyAlignment="1">
      <alignment vertical="center" wrapText="1"/>
    </xf>
    <xf numFmtId="0" fontId="78" fillId="4" borderId="84" xfId="0" applyFont="1" applyFill="1" applyBorder="1" applyAlignment="1">
      <alignment vertical="center" wrapText="1"/>
    </xf>
    <xf numFmtId="0" fontId="78" fillId="4" borderId="0" xfId="0" applyFont="1" applyFill="1" applyAlignment="1">
      <alignment vertical="center" wrapText="1"/>
    </xf>
    <xf numFmtId="0" fontId="78" fillId="4" borderId="85" xfId="0" applyFont="1" applyFill="1" applyBorder="1" applyAlignment="1">
      <alignment vertical="center" wrapText="1"/>
    </xf>
    <xf numFmtId="0" fontId="78" fillId="4" borderId="87" xfId="0" applyFont="1" applyFill="1" applyBorder="1" applyAlignment="1">
      <alignment vertical="center" wrapText="1"/>
    </xf>
    <xf numFmtId="0" fontId="78" fillId="4" borderId="88" xfId="0" applyFont="1" applyFill="1" applyBorder="1" applyAlignment="1">
      <alignment vertical="center" wrapText="1"/>
    </xf>
    <xf numFmtId="0" fontId="86" fillId="16" borderId="0" xfId="0" applyFont="1" applyFill="1"/>
    <xf numFmtId="0" fontId="12" fillId="16" borderId="0" xfId="0" applyFont="1" applyFill="1"/>
    <xf numFmtId="0" fontId="45" fillId="35" borderId="0" xfId="0" applyFont="1" applyFill="1" applyAlignment="1">
      <alignment horizontal="center"/>
    </xf>
    <xf numFmtId="0" fontId="45" fillId="2" borderId="40" xfId="0" applyFont="1" applyFill="1" applyBorder="1" applyAlignment="1">
      <alignment horizontal="center" vertical="center"/>
    </xf>
    <xf numFmtId="0" fontId="43" fillId="0" borderId="69" xfId="0" applyFont="1" applyBorder="1" applyAlignment="1">
      <alignment horizontal="center" wrapText="1"/>
    </xf>
    <xf numFmtId="0" fontId="43" fillId="0" borderId="19" xfId="0" applyFont="1" applyBorder="1" applyAlignment="1">
      <alignment horizontal="center" vertical="center" wrapText="1"/>
    </xf>
    <xf numFmtId="170" fontId="48" fillId="0" borderId="72" xfId="0" applyNumberFormat="1" applyFont="1" applyBorder="1"/>
    <xf numFmtId="170" fontId="20" fillId="0" borderId="72" xfId="0" applyNumberFormat="1" applyFont="1" applyBorder="1"/>
    <xf numFmtId="0" fontId="45" fillId="2" borderId="104" xfId="0" applyFont="1" applyFill="1" applyBorder="1" applyAlignment="1">
      <alignment horizontal="center"/>
    </xf>
    <xf numFmtId="178" fontId="46" fillId="2" borderId="99" xfId="0" applyNumberFormat="1" applyFont="1" applyFill="1" applyBorder="1"/>
    <xf numFmtId="10" fontId="46" fillId="2" borderId="58" xfId="0" applyNumberFormat="1" applyFont="1" applyFill="1" applyBorder="1" applyAlignment="1">
      <alignment horizontal="center"/>
    </xf>
    <xf numFmtId="178" fontId="46" fillId="2" borderId="58" xfId="0" applyNumberFormat="1" applyFont="1" applyFill="1" applyBorder="1"/>
    <xf numFmtId="178" fontId="46" fillId="35" borderId="58" xfId="0" applyNumberFormat="1" applyFont="1" applyFill="1" applyBorder="1"/>
    <xf numFmtId="178" fontId="46" fillId="49" borderId="58" xfId="0" applyNumberFormat="1" applyFont="1" applyFill="1" applyBorder="1"/>
    <xf numFmtId="178" fontId="46" fillId="34" borderId="99" xfId="0" applyNumberFormat="1" applyFont="1" applyFill="1" applyBorder="1"/>
    <xf numFmtId="178" fontId="46" fillId="34" borderId="58" xfId="0" applyNumberFormat="1" applyFont="1" applyFill="1" applyBorder="1"/>
    <xf numFmtId="178" fontId="46" fillId="19" borderId="58" xfId="0" applyNumberFormat="1" applyFont="1" applyFill="1" applyBorder="1"/>
    <xf numFmtId="0" fontId="48" fillId="37" borderId="94" xfId="0" applyFont="1" applyFill="1" applyBorder="1"/>
    <xf numFmtId="3" fontId="46" fillId="54" borderId="94" xfId="0" applyNumberFormat="1" applyFont="1" applyFill="1" applyBorder="1"/>
    <xf numFmtId="0" fontId="46" fillId="54" borderId="94" xfId="0" applyFont="1" applyFill="1" applyBorder="1" applyAlignment="1">
      <alignment horizontal="center"/>
    </xf>
    <xf numFmtId="0" fontId="48" fillId="37" borderId="92" xfId="0" applyFont="1" applyFill="1" applyBorder="1"/>
    <xf numFmtId="0" fontId="45" fillId="49" borderId="90" xfId="0" applyFont="1" applyFill="1" applyBorder="1" applyAlignment="1">
      <alignment horizontal="center"/>
    </xf>
    <xf numFmtId="0" fontId="45" fillId="49" borderId="91" xfId="0" applyFont="1" applyFill="1" applyBorder="1" applyAlignment="1">
      <alignment horizontal="center"/>
    </xf>
    <xf numFmtId="0" fontId="13" fillId="3" borderId="61" xfId="0" applyFont="1" applyFill="1" applyBorder="1"/>
    <xf numFmtId="0" fontId="11" fillId="0" borderId="63" xfId="0" applyFont="1" applyBorder="1" applyAlignment="1">
      <alignment horizontal="center"/>
    </xf>
    <xf numFmtId="10" fontId="11" fillId="0" borderId="18" xfId="0" applyNumberFormat="1" applyFont="1" applyBorder="1" applyAlignment="1">
      <alignment vertical="center"/>
    </xf>
    <xf numFmtId="10" fontId="46" fillId="49" borderId="57" xfId="0" applyNumberFormat="1" applyFont="1" applyFill="1" applyBorder="1" applyAlignment="1">
      <alignment horizontal="center"/>
    </xf>
    <xf numFmtId="0" fontId="88" fillId="0" borderId="0" xfId="2" applyFont="1"/>
    <xf numFmtId="0" fontId="11" fillId="53" borderId="67" xfId="0" applyFont="1" applyFill="1" applyBorder="1" applyAlignment="1">
      <alignment horizontal="left"/>
    </xf>
    <xf numFmtId="0" fontId="13" fillId="53" borderId="98" xfId="0" applyFont="1" applyFill="1" applyBorder="1" applyAlignment="1">
      <alignment horizontal="left" vertical="center"/>
    </xf>
    <xf numFmtId="0" fontId="11" fillId="53" borderId="75" xfId="0" applyFont="1" applyFill="1" applyBorder="1" applyAlignment="1">
      <alignment horizontal="left" vertical="center"/>
    </xf>
    <xf numFmtId="0" fontId="65" fillId="0" borderId="0" xfId="0" applyFont="1" applyAlignment="1">
      <alignment horizontal="center"/>
    </xf>
    <xf numFmtId="0" fontId="90" fillId="0" borderId="0" xfId="0" applyFont="1"/>
    <xf numFmtId="0" fontId="92" fillId="0" borderId="26" xfId="0" applyFont="1" applyBorder="1"/>
    <xf numFmtId="0" fontId="92" fillId="0" borderId="70" xfId="0" applyFont="1" applyBorder="1"/>
    <xf numFmtId="0" fontId="92" fillId="0" borderId="25" xfId="0" applyFont="1" applyBorder="1"/>
    <xf numFmtId="0" fontId="46" fillId="2" borderId="19" xfId="0" applyFont="1" applyFill="1" applyBorder="1"/>
    <xf numFmtId="10" fontId="46" fillId="2" borderId="105" xfId="0" applyNumberFormat="1" applyFont="1" applyFill="1" applyBorder="1" applyAlignment="1">
      <alignment horizontal="center"/>
    </xf>
    <xf numFmtId="0" fontId="45" fillId="34" borderId="18" xfId="0" applyFont="1" applyFill="1" applyBorder="1" applyAlignment="1">
      <alignment horizontal="center"/>
    </xf>
    <xf numFmtId="0" fontId="45" fillId="35" borderId="18" xfId="0" applyFont="1" applyFill="1" applyBorder="1" applyAlignment="1">
      <alignment horizontal="center"/>
    </xf>
    <xf numFmtId="0" fontId="45" fillId="34" borderId="99" xfId="0" applyFont="1" applyFill="1" applyBorder="1" applyAlignment="1">
      <alignment horizontal="center"/>
    </xf>
    <xf numFmtId="0" fontId="15" fillId="8" borderId="109" xfId="0" applyFont="1" applyFill="1" applyBorder="1" applyAlignment="1">
      <alignment horizontal="center"/>
    </xf>
    <xf numFmtId="1" fontId="15" fillId="8" borderId="110" xfId="0" applyNumberFormat="1" applyFont="1" applyFill="1" applyBorder="1" applyAlignment="1">
      <alignment horizontal="center"/>
    </xf>
    <xf numFmtId="1" fontId="15" fillId="8" borderId="111" xfId="0" applyNumberFormat="1" applyFont="1" applyFill="1" applyBorder="1" applyAlignment="1">
      <alignment horizontal="center"/>
    </xf>
    <xf numFmtId="178" fontId="20" fillId="7" borderId="112" xfId="1" applyNumberFormat="1" applyFont="1" applyFill="1" applyBorder="1" applyAlignment="1" applyProtection="1">
      <alignment horizontal="center"/>
    </xf>
    <xf numFmtId="178" fontId="20" fillId="7" borderId="113" xfId="1" applyNumberFormat="1" applyFont="1" applyFill="1" applyBorder="1" applyAlignment="1" applyProtection="1">
      <alignment horizontal="center"/>
    </xf>
    <xf numFmtId="178" fontId="16" fillId="7" borderId="114" xfId="4" applyNumberFormat="1" applyFont="1" applyFill="1" applyBorder="1" applyAlignment="1" applyProtection="1">
      <alignment horizontal="center"/>
    </xf>
    <xf numFmtId="178" fontId="20" fillId="7" borderId="37" xfId="1" applyNumberFormat="1" applyFont="1" applyFill="1" applyBorder="1" applyAlignment="1" applyProtection="1">
      <alignment horizontal="center"/>
    </xf>
    <xf numFmtId="178" fontId="20" fillId="7" borderId="38" xfId="1" applyNumberFormat="1" applyFont="1" applyFill="1" applyBorder="1" applyAlignment="1" applyProtection="1">
      <alignment horizontal="center"/>
    </xf>
    <xf numFmtId="178" fontId="20" fillId="7" borderId="115" xfId="1" applyNumberFormat="1" applyFont="1" applyFill="1" applyBorder="1" applyAlignment="1" applyProtection="1">
      <alignment horizontal="center"/>
    </xf>
    <xf numFmtId="0" fontId="61" fillId="0" borderId="0" xfId="0" applyFont="1" applyAlignment="1">
      <alignment vertical="center"/>
    </xf>
    <xf numFmtId="0" fontId="45" fillId="19" borderId="80" xfId="0" applyFont="1" applyFill="1" applyBorder="1" applyAlignment="1">
      <alignment horizontal="left"/>
    </xf>
    <xf numFmtId="0" fontId="43" fillId="7" borderId="0" xfId="0" applyFont="1" applyFill="1" applyAlignment="1">
      <alignment horizontal="center"/>
    </xf>
    <xf numFmtId="9" fontId="46" fillId="2" borderId="76" xfId="0" applyNumberFormat="1" applyFont="1" applyFill="1" applyBorder="1" applyAlignment="1">
      <alignment horizontal="center"/>
    </xf>
    <xf numFmtId="9" fontId="46" fillId="2" borderId="73" xfId="0" applyNumberFormat="1" applyFont="1" applyFill="1" applyBorder="1" applyAlignment="1">
      <alignment horizontal="center"/>
    </xf>
    <xf numFmtId="0" fontId="45" fillId="54" borderId="93" xfId="0" applyFont="1" applyFill="1" applyBorder="1" applyAlignment="1">
      <alignment horizontal="right"/>
    </xf>
    <xf numFmtId="0" fontId="45" fillId="35" borderId="104" xfId="0" applyFont="1" applyFill="1" applyBorder="1" applyAlignment="1">
      <alignment horizontal="center"/>
    </xf>
    <xf numFmtId="0" fontId="45" fillId="35" borderId="85" xfId="0" applyFont="1" applyFill="1" applyBorder="1" applyAlignment="1">
      <alignment horizontal="center"/>
    </xf>
    <xf numFmtId="0" fontId="45" fillId="35" borderId="101" xfId="0" applyFont="1" applyFill="1" applyBorder="1" applyAlignment="1">
      <alignment horizontal="center"/>
    </xf>
    <xf numFmtId="178" fontId="46" fillId="35" borderId="99" xfId="0" applyNumberFormat="1" applyFont="1" applyFill="1" applyBorder="1"/>
    <xf numFmtId="178" fontId="47" fillId="35" borderId="57" xfId="0" applyNumberFormat="1" applyFont="1" applyFill="1" applyBorder="1" applyAlignment="1">
      <alignment horizontal="center" vertical="center"/>
    </xf>
    <xf numFmtId="178" fontId="46" fillId="35" borderId="57" xfId="0" applyNumberFormat="1" applyFont="1" applyFill="1" applyBorder="1"/>
    <xf numFmtId="178" fontId="46" fillId="35" borderId="102" xfId="0" applyNumberFormat="1" applyFont="1" applyFill="1" applyBorder="1"/>
    <xf numFmtId="178" fontId="46" fillId="52" borderId="58" xfId="0" applyNumberFormat="1" applyFont="1" applyFill="1" applyBorder="1"/>
    <xf numFmtId="0" fontId="45" fillId="35" borderId="20" xfId="0" applyFont="1" applyFill="1" applyBorder="1" applyAlignment="1">
      <alignment horizontal="center"/>
    </xf>
    <xf numFmtId="0" fontId="48" fillId="0" borderId="72" xfId="0" applyFont="1" applyBorder="1" applyAlignment="1">
      <alignment horizontal="center"/>
    </xf>
    <xf numFmtId="0" fontId="48" fillId="0" borderId="74" xfId="0" applyFont="1" applyBorder="1"/>
    <xf numFmtId="0" fontId="43" fillId="29" borderId="116" xfId="0" applyFont="1" applyFill="1" applyBorder="1" applyAlignment="1">
      <alignment horizontal="center"/>
    </xf>
    <xf numFmtId="0" fontId="43" fillId="28" borderId="100" xfId="0" applyFont="1" applyFill="1" applyBorder="1" applyAlignment="1">
      <alignment horizontal="center"/>
    </xf>
    <xf numFmtId="0" fontId="43" fillId="29" borderId="82" xfId="0" applyFont="1" applyFill="1" applyBorder="1" applyAlignment="1">
      <alignment horizontal="center"/>
    </xf>
    <xf numFmtId="0" fontId="43" fillId="28" borderId="104" xfId="0" applyFont="1" applyFill="1" applyBorder="1" applyAlignment="1">
      <alignment horizontal="center"/>
    </xf>
    <xf numFmtId="0" fontId="43" fillId="28" borderId="101" xfId="0" applyFont="1" applyFill="1" applyBorder="1" applyAlignment="1">
      <alignment horizontal="center"/>
    </xf>
    <xf numFmtId="0" fontId="43" fillId="29" borderId="117" xfId="0" applyFont="1" applyFill="1" applyBorder="1" applyAlignment="1">
      <alignment horizontal="center"/>
    </xf>
    <xf numFmtId="170" fontId="48" fillId="28" borderId="99" xfId="0" applyNumberFormat="1" applyFont="1" applyFill="1" applyBorder="1"/>
    <xf numFmtId="178" fontId="48" fillId="34" borderId="57" xfId="0" applyNumberFormat="1" applyFont="1" applyFill="1" applyBorder="1"/>
    <xf numFmtId="170" fontId="48" fillId="28" borderId="102" xfId="0" applyNumberFormat="1" applyFont="1" applyFill="1" applyBorder="1"/>
    <xf numFmtId="170" fontId="48" fillId="28" borderId="58" xfId="0" applyNumberFormat="1" applyFont="1" applyFill="1" applyBorder="1"/>
    <xf numFmtId="178" fontId="48" fillId="31" borderId="58" xfId="0" applyNumberFormat="1" applyFont="1" applyFill="1" applyBorder="1"/>
    <xf numFmtId="178" fontId="48" fillId="34" borderId="59" xfId="0" applyNumberFormat="1" applyFont="1" applyFill="1" applyBorder="1"/>
    <xf numFmtId="0" fontId="45" fillId="49" borderId="89" xfId="0" applyFont="1" applyFill="1" applyBorder="1" applyAlignment="1">
      <alignment horizontal="center"/>
    </xf>
    <xf numFmtId="178" fontId="46" fillId="34" borderId="18" xfId="0" applyNumberFormat="1" applyFont="1" applyFill="1" applyBorder="1" applyAlignment="1">
      <alignment horizontal="center"/>
    </xf>
    <xf numFmtId="178" fontId="46" fillId="34" borderId="99" xfId="0" applyNumberFormat="1" applyFont="1" applyFill="1" applyBorder="1" applyAlignment="1">
      <alignment horizontal="center"/>
    </xf>
    <xf numFmtId="10" fontId="4" fillId="34" borderId="99" xfId="1" applyNumberFormat="1" applyFill="1" applyBorder="1"/>
    <xf numFmtId="10" fontId="4" fillId="34" borderId="102" xfId="1" applyNumberFormat="1" applyFill="1" applyBorder="1"/>
    <xf numFmtId="178" fontId="46" fillId="34" borderId="58" xfId="0" applyNumberFormat="1" applyFont="1" applyFill="1" applyBorder="1" applyAlignment="1">
      <alignment horizontal="center"/>
    </xf>
    <xf numFmtId="0" fontId="45" fillId="34" borderId="57" xfId="0" applyFont="1" applyFill="1" applyBorder="1" applyAlignment="1">
      <alignment horizontal="center" vertical="center"/>
    </xf>
    <xf numFmtId="0" fontId="45" fillId="34" borderId="57" xfId="0" applyFont="1" applyFill="1" applyBorder="1" applyAlignment="1">
      <alignment horizontal="center"/>
    </xf>
    <xf numFmtId="0" fontId="46" fillId="34" borderId="57" xfId="0" applyFont="1" applyFill="1" applyBorder="1"/>
    <xf numFmtId="178" fontId="46" fillId="34" borderId="57" xfId="0" applyNumberFormat="1" applyFont="1" applyFill="1" applyBorder="1"/>
    <xf numFmtId="178" fontId="46" fillId="34" borderId="59" xfId="0" applyNumberFormat="1" applyFont="1" applyFill="1" applyBorder="1"/>
    <xf numFmtId="178" fontId="68" fillId="34" borderId="18" xfId="0" applyNumberFormat="1" applyFont="1" applyFill="1" applyBorder="1" applyAlignment="1">
      <alignment horizontal="center" wrapText="1"/>
    </xf>
    <xf numFmtId="0" fontId="45" fillId="2" borderId="0" xfId="0" applyFont="1" applyFill="1" applyAlignment="1" applyProtection="1">
      <alignment horizontal="center" vertical="center"/>
      <protection locked="0"/>
    </xf>
    <xf numFmtId="0" fontId="43" fillId="0" borderId="0" xfId="0" applyFont="1" applyAlignment="1">
      <alignment horizontal="center" vertical="center"/>
    </xf>
    <xf numFmtId="168" fontId="11" fillId="4" borderId="65" xfId="0" applyNumberFormat="1" applyFont="1" applyFill="1" applyBorder="1" applyAlignment="1">
      <alignment horizontal="right"/>
    </xf>
    <xf numFmtId="167" fontId="11" fillId="4" borderId="57" xfId="0" applyNumberFormat="1" applyFont="1" applyFill="1" applyBorder="1" applyAlignment="1">
      <alignment horizontal="center"/>
    </xf>
    <xf numFmtId="167" fontId="11" fillId="4" borderId="57" xfId="0" applyNumberFormat="1" applyFont="1" applyFill="1" applyBorder="1"/>
    <xf numFmtId="0" fontId="11" fillId="3" borderId="57" xfId="0" applyFont="1" applyFill="1" applyBorder="1"/>
    <xf numFmtId="167" fontId="11" fillId="53" borderId="57" xfId="0" applyNumberFormat="1" applyFont="1" applyFill="1" applyBorder="1"/>
    <xf numFmtId="0" fontId="11" fillId="3" borderId="65" xfId="0" applyFont="1" applyFill="1" applyBorder="1"/>
    <xf numFmtId="10" fontId="11" fillId="3" borderId="65" xfId="0" applyNumberFormat="1" applyFont="1" applyFill="1" applyBorder="1"/>
    <xf numFmtId="14" fontId="0" fillId="0" borderId="18" xfId="0" applyNumberFormat="1" applyBorder="1" applyAlignment="1">
      <alignment horizontal="center" vertical="center" wrapText="1"/>
    </xf>
    <xf numFmtId="0" fontId="94" fillId="8" borderId="118" xfId="0" applyFont="1" applyFill="1" applyBorder="1" applyAlignment="1">
      <alignment horizontal="left"/>
    </xf>
    <xf numFmtId="173" fontId="16" fillId="7" borderId="38" xfId="4" applyNumberFormat="1" applyFont="1" applyFill="1" applyBorder="1" applyAlignment="1" applyProtection="1">
      <alignment horizontal="center"/>
    </xf>
    <xf numFmtId="173" fontId="16" fillId="7" borderId="115" xfId="4" applyNumberFormat="1" applyFont="1" applyFill="1" applyBorder="1" applyAlignment="1" applyProtection="1">
      <alignment horizontal="center"/>
    </xf>
    <xf numFmtId="0" fontId="95" fillId="0" borderId="0" xfId="0" applyFont="1" applyAlignment="1">
      <alignment vertical="center"/>
    </xf>
    <xf numFmtId="171" fontId="4" fillId="0" borderId="0" xfId="1" applyNumberFormat="1"/>
    <xf numFmtId="10" fontId="91" fillId="0" borderId="0" xfId="1" applyNumberFormat="1" applyFont="1"/>
    <xf numFmtId="178" fontId="87" fillId="49" borderId="24" xfId="0" applyNumberFormat="1" applyFont="1" applyFill="1" applyBorder="1" applyAlignment="1">
      <alignment horizontal="center"/>
    </xf>
    <xf numFmtId="178" fontId="46" fillId="49" borderId="84" xfId="0" applyNumberFormat="1" applyFont="1" applyFill="1" applyBorder="1" applyAlignment="1">
      <alignment horizontal="center"/>
    </xf>
    <xf numFmtId="178" fontId="46" fillId="49" borderId="99" xfId="0" applyNumberFormat="1" applyFont="1" applyFill="1" applyBorder="1" applyAlignment="1">
      <alignment horizontal="center"/>
    </xf>
    <xf numFmtId="178" fontId="46" fillId="49" borderId="57" xfId="0" applyNumberFormat="1" applyFont="1" applyFill="1" applyBorder="1" applyAlignment="1">
      <alignment horizontal="center"/>
    </xf>
    <xf numFmtId="178" fontId="46" fillId="49" borderId="102" xfId="0" applyNumberFormat="1" applyFont="1" applyFill="1" applyBorder="1" applyAlignment="1">
      <alignment horizontal="center"/>
    </xf>
    <xf numFmtId="178" fontId="46" fillId="49" borderId="59" xfId="0" applyNumberFormat="1" applyFont="1" applyFill="1" applyBorder="1" applyAlignment="1">
      <alignment horizontal="center"/>
    </xf>
    <xf numFmtId="0" fontId="45" fillId="49" borderId="106" xfId="0" applyFont="1" applyFill="1" applyBorder="1" applyAlignment="1">
      <alignment horizontal="center"/>
    </xf>
    <xf numFmtId="178" fontId="87" fillId="49" borderId="97" xfId="0" applyNumberFormat="1" applyFont="1" applyFill="1" applyBorder="1" applyAlignment="1">
      <alignment horizontal="center"/>
    </xf>
    <xf numFmtId="178" fontId="46" fillId="49" borderId="99" xfId="0" applyNumberFormat="1" applyFont="1" applyFill="1" applyBorder="1"/>
    <xf numFmtId="178" fontId="46" fillId="49" borderId="102" xfId="0" applyNumberFormat="1" applyFont="1" applyFill="1" applyBorder="1"/>
    <xf numFmtId="0" fontId="57" fillId="55" borderId="62" xfId="0" applyFont="1" applyFill="1" applyBorder="1" applyAlignment="1">
      <alignment horizontal="center"/>
    </xf>
    <xf numFmtId="0" fontId="56" fillId="56" borderId="63" xfId="0" applyFont="1" applyFill="1" applyBorder="1" applyAlignment="1">
      <alignment horizontal="center"/>
    </xf>
    <xf numFmtId="173" fontId="43" fillId="0" borderId="62" xfId="0" applyNumberFormat="1" applyFont="1" applyBorder="1" applyAlignment="1">
      <alignment vertical="center"/>
    </xf>
    <xf numFmtId="165" fontId="25" fillId="15" borderId="0" xfId="0" applyNumberFormat="1" applyFont="1" applyFill="1" applyAlignment="1" applyProtection="1">
      <alignment horizontal="center" vertical="center" wrapText="1"/>
      <protection locked="0"/>
    </xf>
    <xf numFmtId="0" fontId="45" fillId="48" borderId="0" xfId="0" applyFont="1" applyFill="1"/>
    <xf numFmtId="0" fontId="96" fillId="0" borderId="0" xfId="0" applyFont="1"/>
    <xf numFmtId="0" fontId="68" fillId="34" borderId="18" xfId="0" applyFont="1" applyFill="1" applyBorder="1" applyAlignment="1">
      <alignment horizontal="center" vertical="center" wrapText="1"/>
    </xf>
    <xf numFmtId="0" fontId="94" fillId="8" borderId="119" xfId="0" applyFont="1" applyFill="1" applyBorder="1" applyAlignment="1">
      <alignment horizontal="center"/>
    </xf>
    <xf numFmtId="0" fontId="94" fillId="8" borderId="120" xfId="0" applyFont="1" applyFill="1" applyBorder="1" applyAlignment="1">
      <alignment horizontal="left"/>
    </xf>
    <xf numFmtId="0" fontId="35" fillId="14" borderId="18" xfId="0" applyFont="1" applyFill="1" applyBorder="1" applyAlignment="1">
      <alignment horizontal="center" vertical="center"/>
    </xf>
    <xf numFmtId="0" fontId="71" fillId="23" borderId="0" xfId="0" applyFont="1" applyFill="1"/>
    <xf numFmtId="0" fontId="0" fillId="23" borderId="0" xfId="0" applyFill="1"/>
    <xf numFmtId="0" fontId="24" fillId="0" borderId="0" xfId="0" applyFont="1" applyAlignment="1">
      <alignment horizontal="left" vertical="top" wrapText="1"/>
    </xf>
    <xf numFmtId="0" fontId="78" fillId="53" borderId="93" xfId="0" applyFont="1" applyFill="1" applyBorder="1" applyAlignment="1">
      <alignment horizontal="center" vertical="center"/>
    </xf>
    <xf numFmtId="0" fontId="78" fillId="53" borderId="94" xfId="0" applyFont="1" applyFill="1" applyBorder="1" applyAlignment="1">
      <alignment horizontal="center" vertical="center"/>
    </xf>
    <xf numFmtId="0" fontId="78" fillId="53" borderId="92" xfId="0" applyFont="1" applyFill="1" applyBorder="1" applyAlignment="1">
      <alignment horizontal="center" vertical="center"/>
    </xf>
    <xf numFmtId="0" fontId="79" fillId="27" borderId="24" xfId="0" applyFont="1" applyFill="1" applyBorder="1" applyAlignment="1">
      <alignment vertical="center" wrapText="1"/>
    </xf>
    <xf numFmtId="0" fontId="79" fillId="27" borderId="80" xfId="0" applyFont="1" applyFill="1" applyBorder="1" applyAlignment="1">
      <alignment vertical="center" wrapText="1"/>
    </xf>
    <xf numFmtId="0" fontId="79" fillId="27" borderId="84" xfId="0" applyFont="1" applyFill="1" applyBorder="1" applyAlignment="1">
      <alignment vertical="center" wrapText="1"/>
    </xf>
    <xf numFmtId="0" fontId="79" fillId="27" borderId="74" xfId="0" applyFont="1" applyFill="1" applyBorder="1" applyAlignment="1">
      <alignment vertical="center" wrapText="1"/>
    </xf>
    <xf numFmtId="0" fontId="79" fillId="27" borderId="0" xfId="0" applyFont="1" applyFill="1" applyAlignment="1">
      <alignment vertical="center" wrapText="1"/>
    </xf>
    <xf numFmtId="0" fontId="79" fillId="27" borderId="85" xfId="0" applyFont="1" applyFill="1" applyBorder="1" applyAlignment="1">
      <alignment vertical="center" wrapText="1"/>
    </xf>
    <xf numFmtId="0" fontId="0" fillId="27" borderId="86" xfId="0" applyFill="1" applyBorder="1" applyAlignment="1">
      <alignment vertical="top" wrapText="1"/>
    </xf>
    <xf numFmtId="0" fontId="0" fillId="27" borderId="87" xfId="0" applyFill="1" applyBorder="1" applyAlignment="1">
      <alignment vertical="top" wrapText="1"/>
    </xf>
    <xf numFmtId="0" fontId="0" fillId="27" borderId="88" xfId="0" applyFill="1" applyBorder="1" applyAlignment="1">
      <alignment vertical="top" wrapText="1"/>
    </xf>
    <xf numFmtId="0" fontId="78" fillId="4" borderId="24" xfId="0" applyFont="1" applyFill="1" applyBorder="1" applyAlignment="1">
      <alignment horizontal="center" vertical="center" wrapText="1"/>
    </xf>
    <xf numFmtId="0" fontId="78" fillId="4" borderId="80" xfId="0" applyFont="1" applyFill="1" applyBorder="1" applyAlignment="1">
      <alignment horizontal="center" vertical="center" wrapText="1"/>
    </xf>
    <xf numFmtId="0" fontId="78" fillId="4" borderId="74" xfId="0" applyFont="1" applyFill="1" applyBorder="1" applyAlignment="1">
      <alignment horizontal="center" vertical="center" wrapText="1"/>
    </xf>
    <xf numFmtId="0" fontId="78" fillId="4" borderId="0" xfId="0" applyFont="1" applyFill="1" applyAlignment="1">
      <alignment horizontal="center" vertical="center" wrapText="1"/>
    </xf>
    <xf numFmtId="0" fontId="78" fillId="4" borderId="86" xfId="0" applyFont="1" applyFill="1" applyBorder="1" applyAlignment="1">
      <alignment horizontal="center" vertical="center" wrapText="1"/>
    </xf>
    <xf numFmtId="0" fontId="78" fillId="4" borderId="87" xfId="0" applyFont="1" applyFill="1" applyBorder="1" applyAlignment="1">
      <alignment horizontal="center" vertical="center" wrapText="1"/>
    </xf>
    <xf numFmtId="165" fontId="25" fillId="2" borderId="0" xfId="0" applyNumberFormat="1" applyFont="1" applyFill="1" applyAlignment="1" applyProtection="1">
      <alignment horizontal="left" vertical="center" wrapText="1"/>
      <protection locked="0"/>
    </xf>
    <xf numFmtId="0" fontId="0" fillId="0" borderId="0" xfId="0" applyAlignment="1">
      <alignment horizontal="left" wrapText="1"/>
    </xf>
    <xf numFmtId="165" fontId="25" fillId="15" borderId="0" xfId="0" applyNumberFormat="1" applyFont="1" applyFill="1" applyAlignment="1" applyProtection="1">
      <alignment horizontal="left" vertical="center" wrapText="1"/>
      <protection locked="0"/>
    </xf>
    <xf numFmtId="0" fontId="72" fillId="43" borderId="40" xfId="0" applyFont="1" applyFill="1" applyBorder="1" applyAlignment="1" applyProtection="1">
      <alignment horizontal="center" vertical="center"/>
      <protection locked="0"/>
    </xf>
    <xf numFmtId="0" fontId="72" fillId="43" borderId="0" xfId="0" applyFont="1" applyFill="1" applyAlignment="1" applyProtection="1">
      <alignment horizontal="center" vertical="center"/>
      <protection locked="0"/>
    </xf>
    <xf numFmtId="0" fontId="17" fillId="9" borderId="11" xfId="2" applyFont="1" applyFill="1" applyBorder="1" applyAlignment="1" applyProtection="1">
      <alignment horizontal="center" vertical="top" wrapText="1"/>
    </xf>
    <xf numFmtId="0" fontId="17" fillId="9" borderId="0" xfId="2" applyFont="1" applyFill="1" applyBorder="1" applyAlignment="1" applyProtection="1">
      <alignment horizontal="center" vertical="top" wrapText="1"/>
    </xf>
    <xf numFmtId="0" fontId="11" fillId="0" borderId="40" xfId="0" applyFont="1" applyBorder="1" applyAlignment="1">
      <alignment horizontal="left" vertical="center" wrapText="1"/>
    </xf>
    <xf numFmtId="0" fontId="11" fillId="0" borderId="0" xfId="0" applyFont="1" applyAlignment="1">
      <alignment horizontal="left" vertical="center" wrapText="1"/>
    </xf>
    <xf numFmtId="0" fontId="21" fillId="8" borderId="19" xfId="0" applyFont="1" applyFill="1" applyBorder="1" applyAlignment="1">
      <alignment horizontal="left" vertical="center" wrapText="1"/>
    </xf>
    <xf numFmtId="0" fontId="21" fillId="8" borderId="20" xfId="0" applyFont="1" applyFill="1" applyBorder="1" applyAlignment="1">
      <alignment horizontal="left" vertical="center" wrapText="1"/>
    </xf>
    <xf numFmtId="0" fontId="15" fillId="8" borderId="32" xfId="0" applyFont="1" applyFill="1" applyBorder="1" applyAlignment="1">
      <alignment horizontal="left"/>
    </xf>
    <xf numFmtId="0" fontId="15" fillId="8" borderId="33" xfId="0" applyFont="1" applyFill="1" applyBorder="1" applyAlignment="1">
      <alignment horizontal="left"/>
    </xf>
    <xf numFmtId="0" fontId="15" fillId="8" borderId="34" xfId="0" applyFont="1" applyFill="1" applyBorder="1" applyAlignment="1">
      <alignment horizontal="left"/>
    </xf>
    <xf numFmtId="0" fontId="16" fillId="4" borderId="14" xfId="0" applyFont="1" applyFill="1" applyBorder="1" applyAlignment="1">
      <alignment horizontal="center"/>
    </xf>
    <xf numFmtId="0" fontId="16" fillId="4" borderId="36" xfId="0" applyFont="1" applyFill="1" applyBorder="1" applyAlignment="1">
      <alignment horizontal="center"/>
    </xf>
    <xf numFmtId="0" fontId="21" fillId="8" borderId="95" xfId="0" applyFont="1" applyFill="1" applyBorder="1" applyAlignment="1">
      <alignment horizontal="center" vertical="center" wrapText="1"/>
    </xf>
    <xf numFmtId="0" fontId="21" fillId="8" borderId="96" xfId="0" applyFont="1" applyFill="1" applyBorder="1" applyAlignment="1">
      <alignment horizontal="center" vertical="center" wrapText="1"/>
    </xf>
    <xf numFmtId="0" fontId="21" fillId="8" borderId="97" xfId="0" applyFont="1" applyFill="1" applyBorder="1" applyAlignment="1">
      <alignment horizontal="center" vertical="center" wrapText="1"/>
    </xf>
    <xf numFmtId="0" fontId="11" fillId="0" borderId="40" xfId="0" applyFont="1" applyBorder="1" applyAlignment="1">
      <alignment vertical="center" wrapText="1"/>
    </xf>
    <xf numFmtId="0" fontId="11" fillId="0" borderId="0" xfId="0" applyFont="1" applyAlignment="1">
      <alignment vertical="center" wrapText="1"/>
    </xf>
    <xf numFmtId="0" fontId="64" fillId="53" borderId="40" xfId="0" applyFont="1" applyFill="1" applyBorder="1" applyAlignment="1">
      <alignment horizontal="left" vertical="top" wrapText="1"/>
    </xf>
    <xf numFmtId="0" fontId="64" fillId="53" borderId="0" xfId="0" applyFont="1" applyFill="1" applyAlignment="1">
      <alignment horizontal="left" vertical="top" wrapText="1"/>
    </xf>
    <xf numFmtId="0" fontId="13" fillId="0" borderId="64" xfId="0" applyFont="1" applyBorder="1" applyAlignment="1">
      <alignment horizontal="center"/>
    </xf>
    <xf numFmtId="0" fontId="13" fillId="0" borderId="66" xfId="0" applyFont="1" applyBorder="1" applyAlignment="1">
      <alignment horizontal="center"/>
    </xf>
    <xf numFmtId="0" fontId="13" fillId="0" borderId="65" xfId="0" applyFont="1" applyBorder="1" applyAlignment="1">
      <alignment horizontal="center"/>
    </xf>
    <xf numFmtId="0" fontId="12" fillId="23" borderId="72" xfId="0" applyFont="1" applyFill="1" applyBorder="1" applyAlignment="1">
      <alignment horizontal="left" vertical="center" wrapText="1"/>
    </xf>
    <xf numFmtId="0" fontId="12" fillId="23" borderId="66" xfId="0" applyFont="1" applyFill="1" applyBorder="1" applyAlignment="1">
      <alignment horizontal="left" vertical="center"/>
    </xf>
    <xf numFmtId="0" fontId="12" fillId="23" borderId="73" xfId="0" applyFont="1" applyFill="1" applyBorder="1" applyAlignment="1">
      <alignment horizontal="left" vertical="center"/>
    </xf>
    <xf numFmtId="0" fontId="70" fillId="2" borderId="69" xfId="0" applyFont="1" applyFill="1" applyBorder="1" applyAlignment="1">
      <alignment horizontal="center" vertical="center"/>
    </xf>
    <xf numFmtId="0" fontId="70" fillId="2" borderId="75" xfId="0" applyFont="1" applyFill="1" applyBorder="1" applyAlignment="1">
      <alignment horizontal="center" vertical="center"/>
    </xf>
    <xf numFmtId="0" fontId="70" fillId="2" borderId="67" xfId="0" applyFont="1" applyFill="1" applyBorder="1" applyAlignment="1">
      <alignment horizontal="center" vertical="center"/>
    </xf>
    <xf numFmtId="0" fontId="70" fillId="2" borderId="40" xfId="0" applyFont="1" applyFill="1" applyBorder="1" applyAlignment="1">
      <alignment horizontal="center" vertical="center"/>
    </xf>
    <xf numFmtId="0" fontId="70" fillId="2" borderId="0" xfId="0" applyFont="1" applyFill="1" applyAlignment="1">
      <alignment horizontal="center" vertical="center"/>
    </xf>
    <xf numFmtId="0" fontId="70" fillId="2" borderId="68" xfId="0" applyFont="1" applyFill="1" applyBorder="1" applyAlignment="1">
      <alignment horizontal="center" vertical="center"/>
    </xf>
    <xf numFmtId="0" fontId="70" fillId="2" borderId="19" xfId="0" applyFont="1" applyFill="1" applyBorder="1" applyAlignment="1">
      <alignment horizontal="center" vertical="center"/>
    </xf>
    <xf numFmtId="0" fontId="70" fillId="2" borderId="20" xfId="0" applyFont="1" applyFill="1" applyBorder="1" applyAlignment="1">
      <alignment horizontal="center" vertical="center"/>
    </xf>
    <xf numFmtId="0" fontId="70" fillId="2" borderId="76" xfId="0" applyFont="1" applyFill="1" applyBorder="1" applyAlignment="1">
      <alignment horizontal="center" vertical="center"/>
    </xf>
    <xf numFmtId="0" fontId="0" fillId="0" borderId="0" xfId="0" applyAlignment="1">
      <alignment horizontal="left" vertical="top" wrapText="1"/>
    </xf>
    <xf numFmtId="0" fontId="12" fillId="0" borderId="72" xfId="0" applyFont="1" applyBorder="1" applyAlignment="1">
      <alignment horizontal="center"/>
    </xf>
    <xf numFmtId="0" fontId="12" fillId="0" borderId="66" xfId="0" applyFont="1" applyBorder="1" applyAlignment="1">
      <alignment horizontal="center"/>
    </xf>
    <xf numFmtId="0" fontId="12" fillId="0" borderId="73" xfId="0" applyFont="1" applyBorder="1" applyAlignment="1">
      <alignment horizontal="center"/>
    </xf>
    <xf numFmtId="0" fontId="32" fillId="0" borderId="69" xfId="2" applyFont="1" applyBorder="1" applyAlignment="1">
      <alignment horizontal="center"/>
    </xf>
    <xf numFmtId="0" fontId="32" fillId="0" borderId="75" xfId="2" applyFont="1" applyBorder="1" applyAlignment="1">
      <alignment horizontal="center"/>
    </xf>
    <xf numFmtId="0" fontId="32" fillId="0" borderId="67" xfId="2" applyFont="1" applyBorder="1" applyAlignment="1">
      <alignment horizontal="center"/>
    </xf>
    <xf numFmtId="0" fontId="43" fillId="36" borderId="95" xfId="0" applyFont="1" applyFill="1" applyBorder="1" applyAlignment="1">
      <alignment horizontal="center"/>
    </xf>
    <xf numFmtId="0" fontId="43" fillId="36" borderId="96" xfId="0" applyFont="1" applyFill="1" applyBorder="1" applyAlignment="1">
      <alignment horizontal="center"/>
    </xf>
    <xf numFmtId="0" fontId="43" fillId="36" borderId="97" xfId="0" applyFont="1" applyFill="1" applyBorder="1" applyAlignment="1">
      <alignment horizontal="center"/>
    </xf>
    <xf numFmtId="0" fontId="57" fillId="44" borderId="19" xfId="0" applyFont="1" applyFill="1" applyBorder="1" applyAlignment="1">
      <alignment horizontal="center" vertical="center"/>
    </xf>
    <xf numFmtId="0" fontId="57" fillId="44" borderId="20" xfId="0" applyFont="1" applyFill="1" applyBorder="1" applyAlignment="1">
      <alignment horizontal="center" vertical="center"/>
    </xf>
    <xf numFmtId="0" fontId="57" fillId="44" borderId="76" xfId="0" applyFont="1" applyFill="1" applyBorder="1" applyAlignment="1">
      <alignment horizontal="center" vertical="center"/>
    </xf>
    <xf numFmtId="1" fontId="42" fillId="0" borderId="19" xfId="0" applyNumberFormat="1" applyFont="1" applyBorder="1" applyAlignment="1">
      <alignment horizontal="center"/>
    </xf>
    <xf numFmtId="1" fontId="42" fillId="0" borderId="76" xfId="0" applyNumberFormat="1" applyFont="1" applyBorder="1" applyAlignment="1">
      <alignment horizontal="center"/>
    </xf>
    <xf numFmtId="0" fontId="47" fillId="2" borderId="0" xfId="0" applyFont="1" applyFill="1" applyAlignment="1" applyProtection="1">
      <alignment horizontal="center" vertical="top" wrapText="1"/>
      <protection locked="0"/>
    </xf>
    <xf numFmtId="0" fontId="20" fillId="50" borderId="0" xfId="0" applyFont="1" applyFill="1" applyAlignment="1">
      <alignment horizontal="center"/>
    </xf>
    <xf numFmtId="0" fontId="20" fillId="50" borderId="0" xfId="0" applyFont="1" applyFill="1" applyAlignment="1">
      <alignment horizontal="left"/>
    </xf>
    <xf numFmtId="0" fontId="45" fillId="48" borderId="0" xfId="0" applyFont="1" applyFill="1" applyAlignment="1" applyProtection="1">
      <alignment horizontal="center"/>
      <protection locked="0"/>
    </xf>
    <xf numFmtId="165" fontId="25" fillId="15" borderId="0" xfId="0" applyNumberFormat="1" applyFont="1" applyFill="1" applyAlignment="1" applyProtection="1">
      <alignment horizontal="center" vertical="center" wrapText="1"/>
      <protection locked="0"/>
    </xf>
    <xf numFmtId="0" fontId="43" fillId="30" borderId="72" xfId="0" applyFont="1" applyFill="1" applyBorder="1" applyAlignment="1">
      <alignment horizontal="center"/>
    </xf>
    <xf numFmtId="0" fontId="43" fillId="30" borderId="66" xfId="0" applyFont="1" applyFill="1" applyBorder="1" applyAlignment="1">
      <alignment horizontal="center"/>
    </xf>
    <xf numFmtId="0" fontId="43" fillId="30" borderId="73" xfId="0" applyFont="1" applyFill="1" applyBorder="1" applyAlignment="1">
      <alignment horizontal="center"/>
    </xf>
    <xf numFmtId="0" fontId="43" fillId="14" borderId="24" xfId="0" applyFont="1" applyFill="1" applyBorder="1" applyAlignment="1">
      <alignment horizontal="center"/>
    </xf>
    <xf numFmtId="0" fontId="43" fillId="14" borderId="80" xfId="0" applyFont="1" applyFill="1" applyBorder="1" applyAlignment="1">
      <alignment horizontal="center"/>
    </xf>
    <xf numFmtId="0" fontId="45" fillId="6" borderId="72" xfId="0" applyFont="1" applyFill="1" applyBorder="1" applyAlignment="1">
      <alignment horizontal="center"/>
    </xf>
    <xf numFmtId="0" fontId="45" fillId="6" borderId="66" xfId="0" applyFont="1" applyFill="1" applyBorder="1" applyAlignment="1">
      <alignment horizontal="center"/>
    </xf>
    <xf numFmtId="0" fontId="45" fillId="6" borderId="73" xfId="0" applyFont="1" applyFill="1" applyBorder="1" applyAlignment="1">
      <alignment horizontal="center"/>
    </xf>
    <xf numFmtId="0" fontId="43" fillId="0" borderId="93" xfId="0" applyFont="1" applyBorder="1" applyAlignment="1">
      <alignment horizontal="center"/>
    </xf>
    <xf numFmtId="0" fontId="43" fillId="0" borderId="94" xfId="0" applyFont="1" applyBorder="1" applyAlignment="1">
      <alignment horizontal="center"/>
    </xf>
    <xf numFmtId="0" fontId="43" fillId="29" borderId="106" xfId="0" applyFont="1" applyFill="1" applyBorder="1" applyAlignment="1">
      <alignment horizontal="center"/>
    </xf>
    <xf numFmtId="0" fontId="43" fillId="29" borderId="107" xfId="0" applyFont="1" applyFill="1" applyBorder="1" applyAlignment="1">
      <alignment horizontal="center"/>
    </xf>
    <xf numFmtId="0" fontId="43" fillId="29" borderId="108" xfId="0" applyFont="1" applyFill="1" applyBorder="1" applyAlignment="1">
      <alignment horizontal="center"/>
    </xf>
    <xf numFmtId="0" fontId="43" fillId="51" borderId="24" xfId="0" applyFont="1" applyFill="1" applyBorder="1" applyAlignment="1">
      <alignment horizontal="center"/>
    </xf>
    <xf numFmtId="0" fontId="43" fillId="51" borderId="84" xfId="0" applyFont="1" applyFill="1" applyBorder="1" applyAlignment="1">
      <alignment horizontal="center"/>
    </xf>
    <xf numFmtId="0" fontId="43" fillId="51" borderId="86" xfId="0" applyFont="1" applyFill="1" applyBorder="1" applyAlignment="1">
      <alignment horizontal="center"/>
    </xf>
    <xf numFmtId="0" fontId="43" fillId="51" borderId="88" xfId="0" applyFont="1" applyFill="1" applyBorder="1" applyAlignment="1">
      <alignment horizontal="center"/>
    </xf>
    <xf numFmtId="0" fontId="15" fillId="8" borderId="45" xfId="0" applyFont="1" applyFill="1" applyBorder="1" applyAlignment="1">
      <alignment horizontal="left"/>
    </xf>
    <xf numFmtId="0" fontId="15" fillId="8" borderId="46" xfId="0" applyFont="1" applyFill="1" applyBorder="1" applyAlignment="1">
      <alignment horizontal="left"/>
    </xf>
    <xf numFmtId="0" fontId="15" fillId="8" borderId="47" xfId="0" applyFont="1" applyFill="1" applyBorder="1" applyAlignment="1">
      <alignment horizontal="left"/>
    </xf>
    <xf numFmtId="0" fontId="16" fillId="7" borderId="41" xfId="0" applyFont="1" applyFill="1" applyBorder="1" applyAlignment="1">
      <alignment horizontal="center"/>
    </xf>
    <xf numFmtId="0" fontId="16" fillId="7" borderId="49" xfId="0" applyFont="1" applyFill="1" applyBorder="1" applyAlignment="1">
      <alignment horizontal="center"/>
    </xf>
    <xf numFmtId="0" fontId="41" fillId="2" borderId="0" xfId="0" applyFont="1" applyFill="1" applyAlignment="1">
      <alignment horizontal="center"/>
    </xf>
  </cellXfs>
  <cellStyles count="5">
    <cellStyle name="Komma" xfId="3" builtinId="3"/>
    <cellStyle name="Link" xfId="2" builtinId="8"/>
    <cellStyle name="Prozent" xfId="1" builtinId="5"/>
    <cellStyle name="Standard" xfId="0" builtinId="0"/>
    <cellStyle name="Währung" xfId="4"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2"/>
      <rgbColor rgb="00CCFFFF"/>
      <rgbColor rgb="00660066"/>
      <rgbColor rgb="00FF8080"/>
      <rgbColor rgb="000066CC"/>
      <rgbColor rgb="00DDDDDD"/>
      <rgbColor rgb="00000080"/>
      <rgbColor rgb="00FF00FF"/>
      <rgbColor rgb="00FFFF00"/>
      <rgbColor rgb="0000FFFF"/>
      <rgbColor rgb="00800080"/>
      <rgbColor rgb="00800000"/>
      <rgbColor rgb="00008080"/>
      <rgbColor rgb="000000E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Hypothetischer Vermögenszuwachs</a:t>
            </a:r>
          </a:p>
          <a:p>
            <a:pPr>
              <a:defRPr/>
            </a:pPr>
            <a:r>
              <a:rPr lang="en-US"/>
              <a:t>(Mittelüberschuss</a:t>
            </a:r>
            <a:r>
              <a:rPr lang="en-US" baseline="0"/>
              <a:t> bei Verkauf)</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0"/>
          <c:order val="0"/>
          <c:tx>
            <c:strRef>
              <c:f>Kennzahlen!$B$12</c:f>
              <c:strCache>
                <c:ptCount val="1"/>
                <c:pt idx="0">
                  <c:v>Hypoth. Mittel-Überschuss bei Verkauf</c:v>
                </c:pt>
              </c:strCache>
            </c:strRef>
          </c:tx>
          <c:spPr>
            <a:solidFill>
              <a:schemeClr val="accent1">
                <a:alpha val="85000"/>
              </a:schemeClr>
            </a:solidFill>
            <a:ln w="25400">
              <a:noFill/>
            </a:ln>
            <a:effectLst>
              <a:innerShdw dist="12700" dir="16200000">
                <a:schemeClr val="lt1"/>
              </a:innerShdw>
            </a:effectLst>
          </c:spPr>
          <c:val>
            <c:numRef>
              <c:f>Kennzahlen!$C$12:$AF$12</c:f>
              <c:numCache>
                <c:formatCode>#,##0</c:formatCode>
                <c:ptCount val="30"/>
                <c:pt idx="0">
                  <c:v>-84009.981246700278</c:v>
                </c:pt>
                <c:pt idx="1">
                  <c:v>-57352.63257795875</c:v>
                </c:pt>
                <c:pt idx="2">
                  <c:v>-29727.70673561655</c:v>
                </c:pt>
                <c:pt idx="3">
                  <c:v>-1113.7768387156539</c:v>
                </c:pt>
                <c:pt idx="4">
                  <c:v>28511.122450458352</c:v>
                </c:pt>
                <c:pt idx="5">
                  <c:v>56169.509397720452</c:v>
                </c:pt>
                <c:pt idx="6">
                  <c:v>84859.675070012454</c:v>
                </c:pt>
                <c:pt idx="7">
                  <c:v>114579.50284039346</c:v>
                </c:pt>
                <c:pt idx="8">
                  <c:v>145259.90187948151</c:v>
                </c:pt>
                <c:pt idx="9">
                  <c:v>176921.6528067668</c:v>
                </c:pt>
                <c:pt idx="10">
                  <c:v>208007.734673345</c:v>
                </c:pt>
                <c:pt idx="11">
                  <c:v>240183.92867276538</c:v>
                </c:pt>
                <c:pt idx="12">
                  <c:v>273477.17944492656</c:v>
                </c:pt>
                <c:pt idx="13">
                  <c:v>307915.20707591949</c:v>
                </c:pt>
                <c:pt idx="14">
                  <c:v>343526.53108203667</c:v>
                </c:pt>
                <c:pt idx="15">
                  <c:v>380340.49515827443</c:v>
                </c:pt>
                <c:pt idx="16">
                  <c:v>418387.29271599138</c:v>
                </c:pt>
                <c:pt idx="17">
                  <c:v>457697.99323517783</c:v>
                </c:pt>
                <c:pt idx="18">
                  <c:v>498304.56945762481</c:v>
                </c:pt>
                <c:pt idx="19">
                  <c:v>540239.92544812895</c:v>
                </c:pt>
                <c:pt idx="20">
                  <c:v>583537.92555174837</c:v>
                </c:pt>
                <c:pt idx="21">
                  <c:v>628233.42427603295</c:v>
                </c:pt>
                <c:pt idx="22">
                  <c:v>674362.29712809506</c:v>
                </c:pt>
                <c:pt idx="23">
                  <c:v>721961.47243734426</c:v>
                </c:pt>
                <c:pt idx="24">
                  <c:v>771068.96419572248</c:v>
                </c:pt>
                <c:pt idx="25">
                  <c:v>821723.90594829503</c:v>
                </c:pt>
                <c:pt idx="26">
                  <c:v>872872.86045218445</c:v>
                </c:pt>
                <c:pt idx="27">
                  <c:v>924521.76032987935</c:v>
                </c:pt>
                <c:pt idx="28">
                  <c:v>976676.61082835682</c:v>
                </c:pt>
                <c:pt idx="29">
                  <c:v>1029343.4907160169</c:v>
                </c:pt>
              </c:numCache>
            </c:numRef>
          </c:val>
          <c:extLst>
            <c:ext xmlns:c16="http://schemas.microsoft.com/office/drawing/2014/chart" uri="{C3380CC4-5D6E-409C-BE32-E72D297353CC}">
              <c16:uniqueId val="{00000001-28F5-4FF9-8326-3F17961BA4F3}"/>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Kumul. Vermögensänderung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1"/>
          <c:order val="0"/>
          <c:tx>
            <c:strRef>
              <c:f>Kennzahlen!$B$13</c:f>
              <c:strCache>
                <c:ptCount val="1"/>
                <c:pt idx="0">
                  <c:v>Vermögen aus Tilgung + kumul. Cash Flow </c:v>
                </c:pt>
              </c:strCache>
            </c:strRef>
          </c:tx>
          <c:spPr>
            <a:solidFill>
              <a:schemeClr val="accent6">
                <a:lumMod val="60000"/>
                <a:lumOff val="40000"/>
              </a:schemeClr>
            </a:solidFill>
            <a:ln w="25400">
              <a:noFill/>
            </a:ln>
            <a:effectLst>
              <a:innerShdw dist="12700" dir="16200000">
                <a:schemeClr val="lt1"/>
              </a:innerShdw>
            </a:effectLst>
          </c:spPr>
          <c:val>
            <c:numRef>
              <c:f>Kennzahlen!$C$13:$AF$13</c:f>
              <c:numCache>
                <c:formatCode>#,##0</c:formatCode>
                <c:ptCount val="30"/>
                <c:pt idx="0">
                  <c:v>17990.018753299759</c:v>
                </c:pt>
                <c:pt idx="1">
                  <c:v>38406.367422041396</c:v>
                </c:pt>
                <c:pt idx="2">
                  <c:v>59748.988264383814</c:v>
                </c:pt>
                <c:pt idx="3">
                  <c:v>82039.000636284647</c:v>
                </c:pt>
                <c:pt idx="4">
                  <c:v>105298.05980283392</c:v>
                </c:pt>
                <c:pt idx="5">
                  <c:v>126548.37138675795</c:v>
                </c:pt>
                <c:pt idx="6">
                  <c:v>148787.91121839426</c:v>
                </c:pt>
                <c:pt idx="7">
                  <c:v>172014.24481741045</c:v>
                </c:pt>
                <c:pt idx="8">
                  <c:v>196157.96086075559</c:v>
                </c:pt>
                <c:pt idx="9">
                  <c:v>221239.51681026304</c:v>
                </c:pt>
                <c:pt idx="10">
                  <c:v>245701.56587144762</c:v>
                </c:pt>
                <c:pt idx="11">
                  <c:v>271209.56068019324</c:v>
                </c:pt>
                <c:pt idx="12">
                  <c:v>297790.11458225973</c:v>
                </c:pt>
                <c:pt idx="13">
                  <c:v>325470.61360850616</c:v>
                </c:pt>
                <c:pt idx="14">
                  <c:v>354279.24043404864</c:v>
                </c:pt>
                <c:pt idx="15">
                  <c:v>384244.99910167675</c:v>
                </c:pt>
                <c:pt idx="16">
                  <c:v>415397.74053418718</c:v>
                </c:pt>
                <c:pt idx="17">
                  <c:v>447768.18886109162</c:v>
                </c:pt>
                <c:pt idx="18">
                  <c:v>481387.96858598146</c:v>
                </c:pt>
                <c:pt idx="19">
                  <c:v>516289.63262168405</c:v>
                </c:pt>
                <c:pt idx="20">
                  <c:v>552506.69122122333</c:v>
                </c:pt>
                <c:pt idx="21">
                  <c:v>590073.64183350815</c:v>
                </c:pt>
                <c:pt idx="22">
                  <c:v>629025.99991360679</c:v>
                </c:pt>
                <c:pt idx="23">
                  <c:v>669400.33071843511</c:v>
                </c:pt>
                <c:pt idx="24">
                  <c:v>711234.28211968695</c:v>
                </c:pt>
                <c:pt idx="25">
                  <c:v>754566.61846686224</c:v>
                </c:pt>
                <c:pt idx="26">
                  <c:v>798343.53021837724</c:v>
                </c:pt>
                <c:pt idx="27">
                  <c:v>842570.57456678618</c:v>
                </c:pt>
                <c:pt idx="28">
                  <c:v>887253.37816955021</c:v>
                </c:pt>
                <c:pt idx="29">
                  <c:v>932397.63801734883</c:v>
                </c:pt>
              </c:numCache>
            </c:numRef>
          </c:val>
          <c:extLst>
            <c:ext xmlns:c16="http://schemas.microsoft.com/office/drawing/2014/chart" uri="{C3380CC4-5D6E-409C-BE32-E72D297353CC}">
              <c16:uniqueId val="{00000000-384B-4F47-97F4-66A32DF23D5E}"/>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de-DE" sz="1800" b="1"/>
              <a:t>Assest-Entwicklung</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6977780794642051E-2"/>
          <c:y val="0.11384286698436012"/>
          <c:w val="0.89922435426833069"/>
          <c:h val="0.74474098886810425"/>
        </c:manualLayout>
      </c:layout>
      <c:lineChart>
        <c:grouping val="standard"/>
        <c:varyColors val="0"/>
        <c:ser>
          <c:idx val="0"/>
          <c:order val="0"/>
          <c:tx>
            <c:strRef>
              <c:f>Kennzahlen!$B$7</c:f>
              <c:strCache>
                <c:ptCount val="1"/>
                <c:pt idx="0">
                  <c:v>Verkaufswert der Immobilie (Jahresanfang)</c:v>
                </c:pt>
              </c:strCache>
            </c:strRef>
          </c:tx>
          <c:spPr>
            <a:ln w="28575" cap="rnd">
              <a:solidFill>
                <a:schemeClr val="accent1"/>
              </a:solidFill>
              <a:round/>
            </a:ln>
            <a:effectLst/>
          </c:spPr>
          <c:marker>
            <c:symbol val="none"/>
          </c:marker>
          <c:val>
            <c:numRef>
              <c:f>Kennzahlen!$C$7:$AF$7</c:f>
              <c:numCache>
                <c:formatCode>#,##0</c:formatCode>
                <c:ptCount val="30"/>
                <c:pt idx="0">
                  <c:v>1046199.9999999999</c:v>
                </c:pt>
                <c:pt idx="1">
                  <c:v>1052440.9999999998</c:v>
                </c:pt>
                <c:pt idx="2">
                  <c:v>1058723.3049999997</c:v>
                </c:pt>
                <c:pt idx="3">
                  <c:v>1065047.2225249996</c:v>
                </c:pt>
                <c:pt idx="4">
                  <c:v>1071413.0626476244</c:v>
                </c:pt>
                <c:pt idx="5">
                  <c:v>1077821.1380109624</c:v>
                </c:pt>
                <c:pt idx="6">
                  <c:v>1084271.7638516182</c:v>
                </c:pt>
                <c:pt idx="7">
                  <c:v>1090765.2580229831</c:v>
                </c:pt>
                <c:pt idx="8">
                  <c:v>1097301.941018726</c:v>
                </c:pt>
                <c:pt idx="9">
                  <c:v>1103882.1359965038</c:v>
                </c:pt>
                <c:pt idx="10">
                  <c:v>1110506.1688018974</c:v>
                </c:pt>
                <c:pt idx="11">
                  <c:v>1117174.3679925723</c:v>
                </c:pt>
                <c:pt idx="12">
                  <c:v>1123887.0648626669</c:v>
                </c:pt>
                <c:pt idx="13">
                  <c:v>1130644.5934674134</c:v>
                </c:pt>
                <c:pt idx="14">
                  <c:v>1137447.290647988</c:v>
                </c:pt>
                <c:pt idx="15">
                  <c:v>1144295.4960565977</c:v>
                </c:pt>
                <c:pt idx="16">
                  <c:v>1151189.5521818043</c:v>
                </c:pt>
                <c:pt idx="17">
                  <c:v>1158129.8043740862</c:v>
                </c:pt>
                <c:pt idx="18">
                  <c:v>1165116.6008716433</c:v>
                </c:pt>
                <c:pt idx="19">
                  <c:v>1172150.2928264448</c:v>
                </c:pt>
                <c:pt idx="20">
                  <c:v>1179231.2343305249</c:v>
                </c:pt>
                <c:pt idx="21">
                  <c:v>1186359.7824425248</c:v>
                </c:pt>
                <c:pt idx="22">
                  <c:v>1193536.2972144883</c:v>
                </c:pt>
                <c:pt idx="23">
                  <c:v>1200761.1417189091</c:v>
                </c:pt>
                <c:pt idx="24">
                  <c:v>1208034.6820760355</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0-39CC-423C-ACE5-B71310BC49EA}"/>
            </c:ext>
          </c:extLst>
        </c:ser>
        <c:ser>
          <c:idx val="1"/>
          <c:order val="1"/>
          <c:tx>
            <c:strRef>
              <c:f>Kennzahlen!$B$10</c:f>
              <c:strCache>
                <c:ptCount val="1"/>
                <c:pt idx="0">
                  <c:v>Restschulden insgesamt am Jahresanfang</c:v>
                </c:pt>
              </c:strCache>
            </c:strRef>
          </c:tx>
          <c:spPr>
            <a:ln w="28575" cap="rnd">
              <a:solidFill>
                <a:schemeClr val="accent2"/>
              </a:solidFill>
              <a:round/>
            </a:ln>
            <a:effectLst/>
          </c:spPr>
          <c:marker>
            <c:symbol val="none"/>
          </c:marke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smooth val="0"/>
          <c:extLst>
            <c:ext xmlns:c16="http://schemas.microsoft.com/office/drawing/2014/chart" uri="{C3380CC4-5D6E-409C-BE32-E72D297353CC}">
              <c16:uniqueId val="{00000001-39CC-423C-ACE5-B71310BC49EA}"/>
            </c:ext>
          </c:extLst>
        </c:ser>
        <c:ser>
          <c:idx val="2"/>
          <c:order val="2"/>
          <c:tx>
            <c:strRef>
              <c:f>Kennzahlen!$B$11</c:f>
              <c:strCache>
                <c:ptCount val="1"/>
                <c:pt idx="0">
                  <c:v>Asset-Status (Verkaufswert - Restschuld) </c:v>
                </c:pt>
              </c:strCache>
            </c:strRef>
          </c:tx>
          <c:spPr>
            <a:ln w="28575" cap="rnd">
              <a:solidFill>
                <a:schemeClr val="accent3"/>
              </a:solidFill>
              <a:round/>
            </a:ln>
            <a:effectLst/>
          </c:spPr>
          <c:marker>
            <c:symbol val="none"/>
          </c:marker>
          <c:val>
            <c:numRef>
              <c:f>Kennzahlen!$C$11:$AF$11</c:f>
              <c:numCache>
                <c:formatCode>#,##0</c:formatCode>
                <c:ptCount val="30"/>
                <c:pt idx="0">
                  <c:v>-2000.0000000001164</c:v>
                </c:pt>
                <c:pt idx="1">
                  <c:v>39315.756124721025</c:v>
                </c:pt>
                <c:pt idx="2">
                  <c:v>81672.447798996815</c:v>
                </c:pt>
                <c:pt idx="3">
                  <c:v>125098.87201848952</c:v>
                </c:pt>
                <c:pt idx="4">
                  <c:v>169624.64027640014</c:v>
                </c:pt>
                <c:pt idx="5">
                  <c:v>215280.20172687958</c:v>
                </c:pt>
                <c:pt idx="6">
                  <c:v>260596.86700816033</c:v>
                </c:pt>
                <c:pt idx="7">
                  <c:v>305546.89438727917</c:v>
                </c:pt>
                <c:pt idx="8">
                  <c:v>346075.49087092269</c:v>
                </c:pt>
                <c:pt idx="9">
                  <c:v>387616.36887100618</c:v>
                </c:pt>
                <c:pt idx="10">
                  <c:v>430197.46416484134</c:v>
                </c:pt>
                <c:pt idx="11">
                  <c:v>472778.19363488629</c:v>
                </c:pt>
                <c:pt idx="12">
                  <c:v>516570.57801843062</c:v>
                </c:pt>
                <c:pt idx="13">
                  <c:v>561612.88398081402</c:v>
                </c:pt>
                <c:pt idx="14">
                  <c:v>607944.61378314858</c:v>
                </c:pt>
                <c:pt idx="15">
                  <c:v>655606.54537372547</c:v>
                </c:pt>
                <c:pt idx="16">
                  <c:v>704640.77378181322</c:v>
                </c:pt>
                <c:pt idx="17">
                  <c:v>755090.75385616987</c:v>
                </c:pt>
                <c:pt idx="18">
                  <c:v>807001.34439196915</c:v>
                </c:pt>
                <c:pt idx="19">
                  <c:v>860418.85369125579</c:v>
                </c:pt>
                <c:pt idx="20">
                  <c:v>915391.08660351671</c:v>
                </c:pt>
                <c:pt idx="21">
                  <c:v>971967.39309446327</c:v>
                </c:pt>
                <c:pt idx="22">
                  <c:v>1030198.7183926892</c:v>
                </c:pt>
                <c:pt idx="23">
                  <c:v>1090137.654765476</c:v>
                </c:pt>
                <c:pt idx="24">
                  <c:v>1151838.4949766903</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2-39CC-423C-ACE5-B71310BC49EA}"/>
            </c:ext>
          </c:extLst>
        </c:ser>
        <c:ser>
          <c:idx val="3"/>
          <c:order val="3"/>
          <c:tx>
            <c:strRef>
              <c:f>Kennzahlen!$B$13</c:f>
              <c:strCache>
                <c:ptCount val="1"/>
                <c:pt idx="0">
                  <c:v>Vermögen aus Tilgung + kumul. Cash Flow </c:v>
                </c:pt>
              </c:strCache>
            </c:strRef>
          </c:tx>
          <c:spPr>
            <a:ln w="28575" cap="rnd">
              <a:solidFill>
                <a:schemeClr val="accent4"/>
              </a:solidFill>
              <a:round/>
            </a:ln>
            <a:effectLst/>
          </c:spPr>
          <c:marker>
            <c:symbol val="none"/>
          </c:marker>
          <c:val>
            <c:numRef>
              <c:f>Kennzahlen!$C$13:$AF$13</c:f>
              <c:numCache>
                <c:formatCode>#,##0</c:formatCode>
                <c:ptCount val="30"/>
                <c:pt idx="0">
                  <c:v>17990.018753299759</c:v>
                </c:pt>
                <c:pt idx="1">
                  <c:v>38406.367422041396</c:v>
                </c:pt>
                <c:pt idx="2">
                  <c:v>59748.988264383814</c:v>
                </c:pt>
                <c:pt idx="3">
                  <c:v>82039.000636284647</c:v>
                </c:pt>
                <c:pt idx="4">
                  <c:v>105298.05980283392</c:v>
                </c:pt>
                <c:pt idx="5">
                  <c:v>126548.37138675795</c:v>
                </c:pt>
                <c:pt idx="6">
                  <c:v>148787.91121839426</c:v>
                </c:pt>
                <c:pt idx="7">
                  <c:v>172014.24481741045</c:v>
                </c:pt>
                <c:pt idx="8">
                  <c:v>196157.96086075559</c:v>
                </c:pt>
                <c:pt idx="9">
                  <c:v>221239.51681026304</c:v>
                </c:pt>
                <c:pt idx="10">
                  <c:v>245701.56587144762</c:v>
                </c:pt>
                <c:pt idx="11">
                  <c:v>271209.56068019324</c:v>
                </c:pt>
                <c:pt idx="12">
                  <c:v>297790.11458225973</c:v>
                </c:pt>
                <c:pt idx="13">
                  <c:v>325470.61360850616</c:v>
                </c:pt>
                <c:pt idx="14">
                  <c:v>354279.24043404864</c:v>
                </c:pt>
                <c:pt idx="15">
                  <c:v>384244.99910167675</c:v>
                </c:pt>
                <c:pt idx="16">
                  <c:v>415397.74053418718</c:v>
                </c:pt>
                <c:pt idx="17">
                  <c:v>447768.18886109162</c:v>
                </c:pt>
                <c:pt idx="18">
                  <c:v>481387.96858598146</c:v>
                </c:pt>
                <c:pt idx="19">
                  <c:v>516289.63262168405</c:v>
                </c:pt>
                <c:pt idx="20">
                  <c:v>552506.69122122333</c:v>
                </c:pt>
                <c:pt idx="21">
                  <c:v>590073.64183350815</c:v>
                </c:pt>
                <c:pt idx="22">
                  <c:v>629025.99991360679</c:v>
                </c:pt>
                <c:pt idx="23">
                  <c:v>669400.33071843511</c:v>
                </c:pt>
                <c:pt idx="24">
                  <c:v>711234.28211968695</c:v>
                </c:pt>
                <c:pt idx="25">
                  <c:v>754566.61846686224</c:v>
                </c:pt>
                <c:pt idx="26">
                  <c:v>798343.53021837724</c:v>
                </c:pt>
                <c:pt idx="27">
                  <c:v>842570.57456678618</c:v>
                </c:pt>
                <c:pt idx="28">
                  <c:v>887253.37816955021</c:v>
                </c:pt>
                <c:pt idx="29">
                  <c:v>932397.63801734883</c:v>
                </c:pt>
              </c:numCache>
            </c:numRef>
          </c:val>
          <c:smooth val="0"/>
          <c:extLst>
            <c:ext xmlns:c16="http://schemas.microsoft.com/office/drawing/2014/chart" uri="{C3380CC4-5D6E-409C-BE32-E72D297353CC}">
              <c16:uniqueId val="{00000001-B16E-4F70-81CB-C4EE2DCBB079}"/>
            </c:ext>
          </c:extLst>
        </c:ser>
        <c:dLbls>
          <c:showLegendKey val="0"/>
          <c:showVal val="0"/>
          <c:showCatName val="0"/>
          <c:showSerName val="0"/>
          <c:showPercent val="0"/>
          <c:showBubbleSize val="0"/>
        </c:dLbls>
        <c:smooth val="0"/>
        <c:axId val="601127536"/>
        <c:axId val="601124624"/>
      </c:lineChart>
      <c:catAx>
        <c:axId val="601127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4624"/>
        <c:crosses val="autoZero"/>
        <c:auto val="1"/>
        <c:lblAlgn val="ctr"/>
        <c:lblOffset val="100"/>
        <c:noMultiLvlLbl val="0"/>
      </c:catAx>
      <c:valAx>
        <c:axId val="601124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7536"/>
        <c:crosses val="autoZero"/>
        <c:crossBetween val="between"/>
        <c:majorUnit val="5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r>
              <a:rPr lang="de-DE" sz="2400" b="1" i="1" baseline="0"/>
              <a:t>Entwicklung Liquider Mittel  - Cash Flow</a:t>
            </a:r>
          </a:p>
        </c:rich>
      </c:tx>
      <c:layout>
        <c:manualLayout>
          <c:xMode val="edge"/>
          <c:yMode val="edge"/>
          <c:x val="0.33112746862249631"/>
          <c:y val="3.2265059481137795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1357845290797884E-2"/>
          <c:y val="0.10530948324815446"/>
          <c:w val="0.90433600306399464"/>
          <c:h val="0.79850903432641618"/>
        </c:manualLayout>
      </c:layout>
      <c:lineChart>
        <c:grouping val="standard"/>
        <c:varyColors val="0"/>
        <c:ser>
          <c:idx val="0"/>
          <c:order val="0"/>
          <c:tx>
            <c:strRef>
              <c:f>Kennzahlen!$B$16</c:f>
              <c:strCache>
                <c:ptCount val="1"/>
                <c:pt idx="0">
                  <c:v>Einnahmen - Ausgaben p.a. nach Steuer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Kennzahlen!$C$16:$AF$16</c:f>
              <c:numCache>
                <c:formatCode>#,##0\ [$€-407]</c:formatCode>
                <c:ptCount val="30"/>
                <c:pt idx="0">
                  <c:v>-17084.737371421594</c:v>
                </c:pt>
                <c:pt idx="1">
                  <c:v>-15658.038005534267</c:v>
                </c:pt>
                <c:pt idx="2">
                  <c:v>-15759.885852150348</c:v>
                </c:pt>
                <c:pt idx="3">
                  <c:v>-15869.91576338499</c:v>
                </c:pt>
                <c:pt idx="4">
                  <c:v>-15988.426920592197</c:v>
                </c:pt>
                <c:pt idx="5">
                  <c:v>-17615.727856700963</c:v>
                </c:pt>
                <c:pt idx="6">
                  <c:v>-17734.181733046495</c:v>
                </c:pt>
                <c:pt idx="7">
                  <c:v>-17843.399162087579</c:v>
                </c:pt>
                <c:pt idx="8">
                  <c:v>-10816.966978960627</c:v>
                </c:pt>
                <c:pt idx="9">
                  <c:v>-10875.506538934027</c:v>
                </c:pt>
                <c:pt idx="10">
                  <c:v>-11450.481218185578</c:v>
                </c:pt>
                <c:pt idx="11">
                  <c:v>-11571.692704704068</c:v>
                </c:pt>
                <c:pt idx="12">
                  <c:v>-11704.223455570303</c:v>
                </c:pt>
                <c:pt idx="13">
                  <c:v>-11848.533595513542</c:v>
                </c:pt>
                <c:pt idx="14">
                  <c:v>-12005.099356424704</c:v>
                </c:pt>
                <c:pt idx="15">
                  <c:v>-12174.413615253005</c:v>
                </c:pt>
                <c:pt idx="16">
                  <c:v>-12356.986449564331</c:v>
                </c:pt>
                <c:pt idx="17">
                  <c:v>-12553.345711337772</c:v>
                </c:pt>
                <c:pt idx="18">
                  <c:v>-12764.037619595189</c:v>
                </c:pt>
                <c:pt idx="19">
                  <c:v>-12989.627372478266</c:v>
                </c:pt>
                <c:pt idx="20">
                  <c:v>-13230.699779407423</c:v>
                </c:pt>
                <c:pt idx="21">
                  <c:v>-13487.859913977636</c:v>
                </c:pt>
                <c:pt idx="22">
                  <c:v>-13761.733788267424</c:v>
                </c:pt>
                <c:pt idx="23">
                  <c:v>-14052.9690492595</c:v>
                </c:pt>
                <c:pt idx="24">
                  <c:v>-14362.235698094042</c:v>
                </c:pt>
                <c:pt idx="25">
                  <c:v>43332.336347175296</c:v>
                </c:pt>
                <c:pt idx="26">
                  <c:v>43776.911751514985</c:v>
                </c:pt>
                <c:pt idx="27">
                  <c:v>44227.044348408919</c:v>
                </c:pt>
                <c:pt idx="28">
                  <c:v>44682.803602764034</c:v>
                </c:pt>
                <c:pt idx="29">
                  <c:v>45144.259847798581</c:v>
                </c:pt>
              </c:numCache>
            </c:numRef>
          </c:val>
          <c:smooth val="0"/>
          <c:extLst>
            <c:ext xmlns:c16="http://schemas.microsoft.com/office/drawing/2014/chart" uri="{C3380CC4-5D6E-409C-BE32-E72D297353CC}">
              <c16:uniqueId val="{00000000-A31E-49E4-9420-06DA561F8B8D}"/>
            </c:ext>
          </c:extLst>
        </c:ser>
        <c:ser>
          <c:idx val="2"/>
          <c:order val="1"/>
          <c:tx>
            <c:strRef>
              <c:f>Kennzahlen!$B$18</c:f>
              <c:strCache>
                <c:ptCount val="1"/>
                <c:pt idx="0">
                  <c:v>Mittel-Überschuss bei hypoth. Verkauf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Kennzahlen!$C$18:$AF$18</c:f>
              <c:numCache>
                <c:formatCode>#,##0\ [$€-407]</c:formatCode>
                <c:ptCount val="30"/>
                <c:pt idx="0">
                  <c:v>-84009.981246700278</c:v>
                </c:pt>
                <c:pt idx="1">
                  <c:v>-57352.63257795875</c:v>
                </c:pt>
                <c:pt idx="2">
                  <c:v>-29727.70673561655</c:v>
                </c:pt>
                <c:pt idx="3">
                  <c:v>-1113.7768387156539</c:v>
                </c:pt>
                <c:pt idx="4">
                  <c:v>28511.122450458352</c:v>
                </c:pt>
                <c:pt idx="5">
                  <c:v>56169.509397720452</c:v>
                </c:pt>
                <c:pt idx="6">
                  <c:v>84859.675070012454</c:v>
                </c:pt>
                <c:pt idx="7">
                  <c:v>114579.50284039346</c:v>
                </c:pt>
                <c:pt idx="8">
                  <c:v>145259.90187948151</c:v>
                </c:pt>
                <c:pt idx="9">
                  <c:v>176921.6528067668</c:v>
                </c:pt>
                <c:pt idx="10">
                  <c:v>208007.734673345</c:v>
                </c:pt>
                <c:pt idx="11">
                  <c:v>240183.92867276538</c:v>
                </c:pt>
                <c:pt idx="12">
                  <c:v>273477.17944492656</c:v>
                </c:pt>
                <c:pt idx="13">
                  <c:v>307915.20707591949</c:v>
                </c:pt>
                <c:pt idx="14">
                  <c:v>343526.53108203667</c:v>
                </c:pt>
                <c:pt idx="15">
                  <c:v>380340.49515827443</c:v>
                </c:pt>
                <c:pt idx="16">
                  <c:v>418387.29271599138</c:v>
                </c:pt>
                <c:pt idx="17">
                  <c:v>457697.99323517783</c:v>
                </c:pt>
                <c:pt idx="18">
                  <c:v>498304.56945762481</c:v>
                </c:pt>
                <c:pt idx="19">
                  <c:v>540239.92544812895</c:v>
                </c:pt>
                <c:pt idx="20">
                  <c:v>583537.92555174837</c:v>
                </c:pt>
                <c:pt idx="21">
                  <c:v>628233.42427603295</c:v>
                </c:pt>
                <c:pt idx="22">
                  <c:v>674362.29712809506</c:v>
                </c:pt>
                <c:pt idx="23">
                  <c:v>721961.47243734426</c:v>
                </c:pt>
                <c:pt idx="24">
                  <c:v>771068.96419572248</c:v>
                </c:pt>
                <c:pt idx="25">
                  <c:v>821723.90594829503</c:v>
                </c:pt>
                <c:pt idx="26">
                  <c:v>872872.86045218445</c:v>
                </c:pt>
                <c:pt idx="27">
                  <c:v>924521.76032987935</c:v>
                </c:pt>
                <c:pt idx="28">
                  <c:v>976676.61082835682</c:v>
                </c:pt>
                <c:pt idx="29">
                  <c:v>1029343.4907160169</c:v>
                </c:pt>
              </c:numCache>
            </c:numRef>
          </c:val>
          <c:smooth val="0"/>
          <c:extLst>
            <c:ext xmlns:c16="http://schemas.microsoft.com/office/drawing/2014/chart" uri="{C3380CC4-5D6E-409C-BE32-E72D297353CC}">
              <c16:uniqueId val="{00000001-A31E-49E4-9420-06DA561F8B8D}"/>
            </c:ext>
          </c:extLst>
        </c:ser>
        <c:ser>
          <c:idx val="1"/>
          <c:order val="2"/>
          <c:tx>
            <c:v>Kumul. Ein- + Ausgaben</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Kennzahlen!$C$17:$AF$17</c:f>
              <c:numCache>
                <c:formatCode>#,##0\ [$€-407]</c:formatCode>
                <c:ptCount val="30"/>
                <c:pt idx="0">
                  <c:v>-17084.737371421594</c:v>
                </c:pt>
                <c:pt idx="1">
                  <c:v>-32742.775376955862</c:v>
                </c:pt>
                <c:pt idx="2">
                  <c:v>-48502.661229106212</c:v>
                </c:pt>
                <c:pt idx="3">
                  <c:v>-64372.576992491202</c:v>
                </c:pt>
                <c:pt idx="4">
                  <c:v>-80361.003913083405</c:v>
                </c:pt>
                <c:pt idx="5">
                  <c:v>-97976.731769784368</c:v>
                </c:pt>
                <c:pt idx="6">
                  <c:v>-115710.91350283087</c:v>
                </c:pt>
                <c:pt idx="7">
                  <c:v>-133554.31266491846</c:v>
                </c:pt>
                <c:pt idx="8">
                  <c:v>-144371.2796438791</c:v>
                </c:pt>
                <c:pt idx="9">
                  <c:v>-155246.78618281311</c:v>
                </c:pt>
                <c:pt idx="10">
                  <c:v>-166697.26740099868</c:v>
                </c:pt>
                <c:pt idx="11">
                  <c:v>-178268.96010570275</c:v>
                </c:pt>
                <c:pt idx="12">
                  <c:v>-189973.18356127304</c:v>
                </c:pt>
                <c:pt idx="13">
                  <c:v>-201821.71715678659</c:v>
                </c:pt>
                <c:pt idx="14">
                  <c:v>-213826.81651321129</c:v>
                </c:pt>
                <c:pt idx="15">
                  <c:v>-226001.23012846429</c:v>
                </c:pt>
                <c:pt idx="16">
                  <c:v>-238358.21657802863</c:v>
                </c:pt>
                <c:pt idx="17">
                  <c:v>-250911.56228936641</c:v>
                </c:pt>
                <c:pt idx="18">
                  <c:v>-263675.59990896162</c:v>
                </c:pt>
                <c:pt idx="19">
                  <c:v>-276665.22728143987</c:v>
                </c:pt>
                <c:pt idx="20">
                  <c:v>-289895.92706084729</c:v>
                </c:pt>
                <c:pt idx="21">
                  <c:v>-303383.78697482491</c:v>
                </c:pt>
                <c:pt idx="22">
                  <c:v>-317145.52076309233</c:v>
                </c:pt>
                <c:pt idx="23">
                  <c:v>-331198.48981235182</c:v>
                </c:pt>
                <c:pt idx="24">
                  <c:v>-345560.72551044589</c:v>
                </c:pt>
                <c:pt idx="25">
                  <c:v>-302228.38916327059</c:v>
                </c:pt>
                <c:pt idx="26">
                  <c:v>-258451.47741175559</c:v>
                </c:pt>
                <c:pt idx="27">
                  <c:v>-214224.43306334666</c:v>
                </c:pt>
                <c:pt idx="28">
                  <c:v>-169541.62946058263</c:v>
                </c:pt>
                <c:pt idx="29">
                  <c:v>-124397.36961278404</c:v>
                </c:pt>
              </c:numCache>
            </c:numRef>
          </c:val>
          <c:smooth val="0"/>
          <c:extLst>
            <c:ext xmlns:c16="http://schemas.microsoft.com/office/drawing/2014/chart" uri="{C3380CC4-5D6E-409C-BE32-E72D297353CC}">
              <c16:uniqueId val="{00000002-A31E-49E4-9420-06DA561F8B8D}"/>
            </c:ext>
          </c:extLst>
        </c:ser>
        <c:dLbls>
          <c:showLegendKey val="0"/>
          <c:showVal val="0"/>
          <c:showCatName val="0"/>
          <c:showSerName val="0"/>
          <c:showPercent val="0"/>
          <c:showBubbleSize val="0"/>
        </c:dLbls>
        <c:marker val="1"/>
        <c:smooth val="0"/>
        <c:axId val="190937696"/>
        <c:axId val="190933952"/>
      </c:lineChart>
      <c:dateAx>
        <c:axId val="1909376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3952"/>
        <c:crossesAt val="0"/>
        <c:auto val="0"/>
        <c:lblOffset val="1000"/>
        <c:baseTimeUnit val="days"/>
      </c:dateAx>
      <c:valAx>
        <c:axId val="190933952"/>
        <c:scaling>
          <c:orientation val="minMax"/>
        </c:scaling>
        <c:delete val="0"/>
        <c:axPos val="l"/>
        <c:majorGridlines>
          <c:spPr>
            <a:ln w="9525" cap="flat" cmpd="sng" algn="ctr">
              <a:solidFill>
                <a:schemeClr val="tx1">
                  <a:lumMod val="15000"/>
                  <a:lumOff val="85000"/>
                </a:schemeClr>
              </a:solidFill>
              <a:round/>
            </a:ln>
            <a:effectLst/>
          </c:spPr>
        </c:majorGridlines>
        <c:numFmt formatCode="#,##0\ [$€-407]"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7696"/>
        <c:crosses val="autoZero"/>
        <c:crossBetween val="midCat"/>
        <c:majorUnit val="50000"/>
      </c:valAx>
      <c:spPr>
        <a:noFill/>
        <a:ln>
          <a:noFill/>
        </a:ln>
        <a:effectLst/>
      </c:spPr>
    </c:plotArea>
    <c:legend>
      <c:legendPos val="b"/>
      <c:layout>
        <c:manualLayout>
          <c:xMode val="edge"/>
          <c:yMode val="edge"/>
          <c:x val="0.1054022275488965"/>
          <c:y val="0.87716799577369131"/>
          <c:w val="0.86835080112652663"/>
          <c:h val="9.521985626991576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Darlehnshöhe im Zeitverlauf</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6722781409399295"/>
          <c:y val="0.12974964667878053"/>
          <c:w val="0.76683300888126993"/>
          <c:h val="0.77331594739915821"/>
        </c:manualLayout>
      </c:layout>
      <c:areaChart>
        <c:grouping val="standard"/>
        <c:varyColors val="0"/>
        <c:ser>
          <c:idx val="0"/>
          <c:order val="0"/>
          <c:tx>
            <c:strRef>
              <c:f>Kennzahlen!$B$10</c:f>
              <c:strCache>
                <c:ptCount val="1"/>
                <c:pt idx="0">
                  <c:v>Restschulden insgesamt am Jahresanfang</c:v>
                </c:pt>
              </c:strCache>
            </c:strRef>
          </c:tx>
          <c:spPr>
            <a:solidFill>
              <a:schemeClr val="accent2">
                <a:lumMod val="60000"/>
                <a:lumOff val="40000"/>
              </a:schemeClr>
            </a:solidFill>
            <a:ln>
              <a:solidFill>
                <a:sysClr val="windowText" lastClr="000000"/>
              </a:solidFill>
            </a:ln>
            <a:effectLst>
              <a:innerShdw dist="12700" dir="16200000">
                <a:schemeClr val="lt1"/>
              </a:innerShdw>
            </a:effectLst>
          </c:spP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extLst>
            <c:ext xmlns:c16="http://schemas.microsoft.com/office/drawing/2014/chart" uri="{C3380CC4-5D6E-409C-BE32-E72D297353CC}">
              <c16:uniqueId val="{00000000-11B5-4150-B2FD-5BE98CCAD4D8}"/>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3356536954619807"/>
              <c:y val="0.948622735532184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out"/>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effectLst>
                  <a:outerShdw blurRad="50800" dist="50800" dir="5400000" algn="ctr" rotWithShape="0">
                    <a:schemeClr val="tx1"/>
                  </a:outerShdw>
                </a:effectLst>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Restschuld in 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158750</xdr:colOff>
      <xdr:row>111</xdr:row>
      <xdr:rowOff>106680</xdr:rowOff>
    </xdr:from>
    <xdr:to>
      <xdr:col>2</xdr:col>
      <xdr:colOff>572770</xdr:colOff>
      <xdr:row>117</xdr:row>
      <xdr:rowOff>31750</xdr:rowOff>
    </xdr:to>
    <xdr:pic>
      <xdr:nvPicPr>
        <xdr:cNvPr id="2" name="Grafik 1">
          <a:extLst>
            <a:ext uri="{FF2B5EF4-FFF2-40B4-BE49-F238E27FC236}">
              <a16:creationId xmlns:a16="http://schemas.microsoft.com/office/drawing/2014/main" id="{DAF72191-DFB3-BD99-860E-A64DCF9E9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25144730"/>
          <a:ext cx="3970020" cy="991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501650</xdr:colOff>
      <xdr:row>111</xdr:row>
      <xdr:rowOff>12700</xdr:rowOff>
    </xdr:from>
    <xdr:to>
      <xdr:col>5</xdr:col>
      <xdr:colOff>387350</xdr:colOff>
      <xdr:row>117</xdr:row>
      <xdr:rowOff>143510</xdr:rowOff>
    </xdr:to>
    <xdr:pic>
      <xdr:nvPicPr>
        <xdr:cNvPr id="3" name="Grafik 1">
          <a:extLst>
            <a:ext uri="{FF2B5EF4-FFF2-40B4-BE49-F238E27FC236}">
              <a16:creationId xmlns:a16="http://schemas.microsoft.com/office/drawing/2014/main" id="{9ED2CA20-F942-2226-5E9E-2D37DF580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7050" y="25050750"/>
          <a:ext cx="660400" cy="1197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830580</xdr:colOff>
      <xdr:row>54</xdr:row>
      <xdr:rowOff>129540</xdr:rowOff>
    </xdr:from>
    <xdr:to>
      <xdr:col>0</xdr:col>
      <xdr:colOff>2712883</xdr:colOff>
      <xdr:row>58</xdr:row>
      <xdr:rowOff>243940</xdr:rowOff>
    </xdr:to>
    <xdr:pic>
      <xdr:nvPicPr>
        <xdr:cNvPr id="4" name="Grafik 3">
          <a:extLst>
            <a:ext uri="{FF2B5EF4-FFF2-40B4-BE49-F238E27FC236}">
              <a16:creationId xmlns:a16="http://schemas.microsoft.com/office/drawing/2014/main" id="{323FE0D2-60BA-A062-B120-C49AA56AAC84}"/>
            </a:ext>
          </a:extLst>
        </xdr:cNvPr>
        <xdr:cNvPicPr>
          <a:picLocks noChangeAspect="1"/>
        </xdr:cNvPicPr>
      </xdr:nvPicPr>
      <xdr:blipFill>
        <a:blip xmlns:r="http://schemas.openxmlformats.org/officeDocument/2006/relationships" r:embed="rId3"/>
        <a:stretch>
          <a:fillRect/>
        </a:stretch>
      </xdr:blipFill>
      <xdr:spPr>
        <a:xfrm>
          <a:off x="830580" y="14272260"/>
          <a:ext cx="1882303" cy="1150720"/>
        </a:xfrm>
        <a:prstGeom prst="rect">
          <a:avLst/>
        </a:prstGeom>
      </xdr:spPr>
    </xdr:pic>
    <xdr:clientData/>
  </xdr:twoCellAnchor>
  <xdr:twoCellAnchor editAs="oneCell">
    <xdr:from>
      <xdr:col>2</xdr:col>
      <xdr:colOff>0</xdr:colOff>
      <xdr:row>55</xdr:row>
      <xdr:rowOff>15240</xdr:rowOff>
    </xdr:from>
    <xdr:to>
      <xdr:col>5</xdr:col>
      <xdr:colOff>259305</xdr:colOff>
      <xdr:row>57</xdr:row>
      <xdr:rowOff>30526</xdr:rowOff>
    </xdr:to>
    <xdr:pic>
      <xdr:nvPicPr>
        <xdr:cNvPr id="5" name="Grafik 4">
          <a:extLst>
            <a:ext uri="{FF2B5EF4-FFF2-40B4-BE49-F238E27FC236}">
              <a16:creationId xmlns:a16="http://schemas.microsoft.com/office/drawing/2014/main" id="{3756D265-3826-4359-A3F2-360A981558D7}"/>
            </a:ext>
          </a:extLst>
        </xdr:cNvPr>
        <xdr:cNvPicPr>
          <a:picLocks noChangeAspect="1"/>
        </xdr:cNvPicPr>
      </xdr:nvPicPr>
      <xdr:blipFill>
        <a:blip xmlns:r="http://schemas.openxmlformats.org/officeDocument/2006/relationships" r:embed="rId4"/>
        <a:stretch>
          <a:fillRect/>
        </a:stretch>
      </xdr:blipFill>
      <xdr:spPr>
        <a:xfrm>
          <a:off x="3558540" y="14417040"/>
          <a:ext cx="2591025" cy="533446"/>
        </a:xfrm>
        <a:prstGeom prst="rect">
          <a:avLst/>
        </a:prstGeom>
      </xdr:spPr>
    </xdr:pic>
    <xdr:clientData/>
  </xdr:twoCellAnchor>
  <xdr:twoCellAnchor editAs="oneCell">
    <xdr:from>
      <xdr:col>2</xdr:col>
      <xdr:colOff>15240</xdr:colOff>
      <xdr:row>57</xdr:row>
      <xdr:rowOff>76200</xdr:rowOff>
    </xdr:from>
    <xdr:to>
      <xdr:col>4</xdr:col>
      <xdr:colOff>350684</xdr:colOff>
      <xdr:row>59</xdr:row>
      <xdr:rowOff>76245</xdr:rowOff>
    </xdr:to>
    <xdr:pic>
      <xdr:nvPicPr>
        <xdr:cNvPr id="6" name="Grafik 5">
          <a:extLst>
            <a:ext uri="{FF2B5EF4-FFF2-40B4-BE49-F238E27FC236}">
              <a16:creationId xmlns:a16="http://schemas.microsoft.com/office/drawing/2014/main" id="{760D537D-AA43-44E5-9400-15A12855F07F}"/>
            </a:ext>
          </a:extLst>
        </xdr:cNvPr>
        <xdr:cNvPicPr>
          <a:picLocks noChangeAspect="1"/>
        </xdr:cNvPicPr>
      </xdr:nvPicPr>
      <xdr:blipFill>
        <a:blip xmlns:r="http://schemas.openxmlformats.org/officeDocument/2006/relationships" r:embed="rId5"/>
        <a:stretch>
          <a:fillRect/>
        </a:stretch>
      </xdr:blipFill>
      <xdr:spPr>
        <a:xfrm>
          <a:off x="3573780" y="14996160"/>
          <a:ext cx="1889924" cy="518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104</xdr:row>
      <xdr:rowOff>0</xdr:rowOff>
    </xdr:from>
    <xdr:to>
      <xdr:col>1</xdr:col>
      <xdr:colOff>233744</xdr:colOff>
      <xdr:row>162</xdr:row>
      <xdr:rowOff>14727</xdr:rowOff>
    </xdr:to>
    <xdr:pic>
      <xdr:nvPicPr>
        <xdr:cNvPr id="2" name="Grafik 1">
          <a:extLst>
            <a:ext uri="{FF2B5EF4-FFF2-40B4-BE49-F238E27FC236}">
              <a16:creationId xmlns:a16="http://schemas.microsoft.com/office/drawing/2014/main" id="{1516BD88-15E9-FD85-45E0-CE91F2570550}"/>
            </a:ext>
          </a:extLst>
        </xdr:cNvPr>
        <xdr:cNvPicPr>
          <a:picLocks noChangeAspect="1"/>
        </xdr:cNvPicPr>
      </xdr:nvPicPr>
      <xdr:blipFill>
        <a:blip xmlns:r="http://schemas.openxmlformats.org/officeDocument/2006/relationships" r:embed="rId1"/>
        <a:stretch>
          <a:fillRect/>
        </a:stretch>
      </xdr:blipFill>
      <xdr:spPr>
        <a:xfrm>
          <a:off x="0" y="20241491"/>
          <a:ext cx="3406435" cy="100592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17</xdr:col>
      <xdr:colOff>643889</xdr:colOff>
      <xdr:row>7</xdr:row>
      <xdr:rowOff>231214</xdr:rowOff>
    </xdr:to>
    <xdr:pic>
      <xdr:nvPicPr>
        <xdr:cNvPr id="4" name="Grafik 3">
          <a:extLst>
            <a:ext uri="{FF2B5EF4-FFF2-40B4-BE49-F238E27FC236}">
              <a16:creationId xmlns:a16="http://schemas.microsoft.com/office/drawing/2014/main" id="{BABC5EEE-B80B-125D-83ED-8182A9FAA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000" y="800100"/>
          <a:ext cx="7772400" cy="1304364"/>
        </a:xfrm>
        <a:prstGeom prst="rect">
          <a:avLst/>
        </a:prstGeom>
      </xdr:spPr>
    </xdr:pic>
    <xdr:clientData/>
  </xdr:twoCellAnchor>
  <xdr:twoCellAnchor>
    <xdr:from>
      <xdr:col>0</xdr:col>
      <xdr:colOff>394853</xdr:colOff>
      <xdr:row>127</xdr:row>
      <xdr:rowOff>27708</xdr:rowOff>
    </xdr:from>
    <xdr:to>
      <xdr:col>6</xdr:col>
      <xdr:colOff>245224</xdr:colOff>
      <xdr:row>147</xdr:row>
      <xdr:rowOff>48490</xdr:rowOff>
    </xdr:to>
    <xdr:pic>
      <xdr:nvPicPr>
        <xdr:cNvPr id="2" name="Grafik 1">
          <a:extLst>
            <a:ext uri="{FF2B5EF4-FFF2-40B4-BE49-F238E27FC236}">
              <a16:creationId xmlns:a16="http://schemas.microsoft.com/office/drawing/2014/main" id="{A3C83023-B5A1-02F7-B056-3B4FFCE533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853" y="28796672"/>
          <a:ext cx="5752407" cy="3345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94</xdr:row>
      <xdr:rowOff>90055</xdr:rowOff>
    </xdr:from>
    <xdr:to>
      <xdr:col>5</xdr:col>
      <xdr:colOff>640080</xdr:colOff>
      <xdr:row>114</xdr:row>
      <xdr:rowOff>32557</xdr:rowOff>
    </xdr:to>
    <xdr:pic>
      <xdr:nvPicPr>
        <xdr:cNvPr id="3" name="Grafik 1">
          <a:extLst>
            <a:ext uri="{FF2B5EF4-FFF2-40B4-BE49-F238E27FC236}">
              <a16:creationId xmlns:a16="http://schemas.microsoft.com/office/drawing/2014/main" id="{7909DF8B-676F-D7E4-A74E-3B38723AF7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3670491"/>
          <a:ext cx="5752407" cy="3960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143933</xdr:colOff>
      <xdr:row>64</xdr:row>
      <xdr:rowOff>84667</xdr:rowOff>
    </xdr:from>
    <xdr:to>
      <xdr:col>10</xdr:col>
      <xdr:colOff>417569</xdr:colOff>
      <xdr:row>70</xdr:row>
      <xdr:rowOff>168587</xdr:rowOff>
    </xdr:to>
    <xdr:pic>
      <xdr:nvPicPr>
        <xdr:cNvPr id="2" name="Grafik 1">
          <a:extLst>
            <a:ext uri="{FF2B5EF4-FFF2-40B4-BE49-F238E27FC236}">
              <a16:creationId xmlns:a16="http://schemas.microsoft.com/office/drawing/2014/main" id="{F575429F-2003-4DE7-8D46-1F03B4B0436A}"/>
            </a:ext>
          </a:extLst>
        </xdr:cNvPr>
        <xdr:cNvPicPr>
          <a:picLocks noChangeAspect="1"/>
        </xdr:cNvPicPr>
      </xdr:nvPicPr>
      <xdr:blipFill>
        <a:blip xmlns:r="http://schemas.openxmlformats.org/officeDocument/2006/relationships" r:embed="rId1"/>
        <a:stretch>
          <a:fillRect/>
        </a:stretch>
      </xdr:blipFill>
      <xdr:spPr>
        <a:xfrm>
          <a:off x="5833533" y="11582400"/>
          <a:ext cx="1882303" cy="1150720"/>
        </a:xfrm>
        <a:prstGeom prst="rect">
          <a:avLst/>
        </a:prstGeom>
      </xdr:spPr>
    </xdr:pic>
    <xdr:clientData/>
  </xdr:twoCellAnchor>
  <xdr:twoCellAnchor editAs="oneCell">
    <xdr:from>
      <xdr:col>10</xdr:col>
      <xdr:colOff>558800</xdr:colOff>
      <xdr:row>67</xdr:row>
      <xdr:rowOff>93134</xdr:rowOff>
    </xdr:from>
    <xdr:to>
      <xdr:col>14</xdr:col>
      <xdr:colOff>279625</xdr:colOff>
      <xdr:row>70</xdr:row>
      <xdr:rowOff>93180</xdr:rowOff>
    </xdr:to>
    <xdr:pic>
      <xdr:nvPicPr>
        <xdr:cNvPr id="3" name="Grafik 2">
          <a:extLst>
            <a:ext uri="{FF2B5EF4-FFF2-40B4-BE49-F238E27FC236}">
              <a16:creationId xmlns:a16="http://schemas.microsoft.com/office/drawing/2014/main" id="{7F4316DC-6FEB-E018-1BD6-A2DD5869EB6E}"/>
            </a:ext>
          </a:extLst>
        </xdr:cNvPr>
        <xdr:cNvPicPr>
          <a:picLocks noChangeAspect="1"/>
        </xdr:cNvPicPr>
      </xdr:nvPicPr>
      <xdr:blipFill>
        <a:blip xmlns:r="http://schemas.openxmlformats.org/officeDocument/2006/relationships" r:embed="rId2"/>
        <a:stretch>
          <a:fillRect/>
        </a:stretch>
      </xdr:blipFill>
      <xdr:spPr>
        <a:xfrm>
          <a:off x="7857067" y="12124267"/>
          <a:ext cx="2591025" cy="533446"/>
        </a:xfrm>
        <a:prstGeom prst="rect">
          <a:avLst/>
        </a:prstGeom>
      </xdr:spPr>
    </xdr:pic>
    <xdr:clientData/>
  </xdr:twoCellAnchor>
  <xdr:twoCellAnchor editAs="oneCell">
    <xdr:from>
      <xdr:col>10</xdr:col>
      <xdr:colOff>668866</xdr:colOff>
      <xdr:row>63</xdr:row>
      <xdr:rowOff>152399</xdr:rowOff>
    </xdr:from>
    <xdr:to>
      <xdr:col>13</xdr:col>
      <xdr:colOff>442124</xdr:colOff>
      <xdr:row>66</xdr:row>
      <xdr:rowOff>137204</xdr:rowOff>
    </xdr:to>
    <xdr:pic>
      <xdr:nvPicPr>
        <xdr:cNvPr id="4" name="Grafik 3">
          <a:extLst>
            <a:ext uri="{FF2B5EF4-FFF2-40B4-BE49-F238E27FC236}">
              <a16:creationId xmlns:a16="http://schemas.microsoft.com/office/drawing/2014/main" id="{A131DF54-04BA-3E98-3B33-4DB13ED6B5CF}"/>
            </a:ext>
          </a:extLst>
        </xdr:cNvPr>
        <xdr:cNvPicPr>
          <a:picLocks noChangeAspect="1"/>
        </xdr:cNvPicPr>
      </xdr:nvPicPr>
      <xdr:blipFill>
        <a:blip xmlns:r="http://schemas.openxmlformats.org/officeDocument/2006/relationships" r:embed="rId3"/>
        <a:stretch>
          <a:fillRect/>
        </a:stretch>
      </xdr:blipFill>
      <xdr:spPr>
        <a:xfrm>
          <a:off x="7967133" y="11472332"/>
          <a:ext cx="1889924" cy="5182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762000</xdr:colOff>
      <xdr:row>33</xdr:row>
      <xdr:rowOff>0</xdr:rowOff>
    </xdr:to>
    <xdr:graphicFrame macro="">
      <xdr:nvGraphicFramePr>
        <xdr:cNvPr id="6" name="Chart 7">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18</xdr:col>
      <xdr:colOff>502920</xdr:colOff>
      <xdr:row>33</xdr:row>
      <xdr:rowOff>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12</xdr:col>
      <xdr:colOff>121920</xdr:colOff>
      <xdr:row>94</xdr:row>
      <xdr:rowOff>152400</xdr:rowOff>
    </xdr:to>
    <xdr:graphicFrame macro="">
      <xdr:nvGraphicFramePr>
        <xdr:cNvPr id="9" name="Diagramm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143933</xdr:colOff>
      <xdr:row>98</xdr:row>
      <xdr:rowOff>25400</xdr:rowOff>
    </xdr:from>
    <xdr:to>
      <xdr:col>12</xdr:col>
      <xdr:colOff>303953</xdr:colOff>
      <xdr:row>144</xdr:row>
      <xdr:rowOff>143933</xdr:rowOff>
    </xdr:to>
    <xdr:graphicFrame macro="">
      <xdr:nvGraphicFramePr>
        <xdr:cNvPr id="10" name="Diagramm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194735</xdr:colOff>
      <xdr:row>61</xdr:row>
      <xdr:rowOff>101600</xdr:rowOff>
    </xdr:from>
    <xdr:to>
      <xdr:col>21</xdr:col>
      <xdr:colOff>113455</xdr:colOff>
      <xdr:row>89</xdr:row>
      <xdr:rowOff>61807</xdr:rowOff>
    </xdr:to>
    <xdr:graphicFrame macro="">
      <xdr:nvGraphicFramePr>
        <xdr:cNvPr id="11" name="Chart 7">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mwsb.bund.de/SharedDocs/kurzmeldungen/Webs/BMWSB/DE/2024/03/degressive-afa.html" TargetMode="External"/><Relationship Id="rId13" Type="http://schemas.openxmlformats.org/officeDocument/2006/relationships/hyperlink" Target="https://index.fmh.de/fmh-index/ueberblick/" TargetMode="External"/><Relationship Id="rId18" Type="http://schemas.openxmlformats.org/officeDocument/2006/relationships/hyperlink" Target="https://ivd.net/bundesverband/steuerliche-vorteile-im-wohnungsbau-degressive-afa-sonderabschreibung" TargetMode="External"/><Relationship Id="rId3" Type="http://schemas.openxmlformats.org/officeDocument/2006/relationships/hyperlink" Target="https://www.opportunityfinder.de/index.php/2017/11/26/immobilien-rendite-berechnen-excel-kostenlos/" TargetMode="External"/><Relationship Id="rId21" Type="http://schemas.openxmlformats.org/officeDocument/2006/relationships/drawing" Target="../drawings/drawing1.xml"/><Relationship Id="rId7" Type="http://schemas.openxmlformats.org/officeDocument/2006/relationships/hyperlink" Target="https://www.finanztip.de/baufinanzierung/immobilie-kapitalanlage/" TargetMode="External"/><Relationship Id="rId12" Type="http://schemas.openxmlformats.org/officeDocument/2006/relationships/hyperlink" Target="https://www.baumeister-online.de/nachricht/bundesrat-stimmt-wachstumschancengesetz-zu-degressive-afa-kommt/" TargetMode="External"/><Relationship Id="rId17" Type="http://schemas.openxmlformats.org/officeDocument/2006/relationships/hyperlink" Target="https://www.controllingportal.de/Marktplatz/Excel-Tools/Excel-Vorlage-zum-Evaluieren-einer-Immobilien-Investitionen.html" TargetMode="External"/><Relationship Id="rId2" Type="http://schemas.openxmlformats.org/officeDocument/2006/relationships/hyperlink" Target="https://www.jeder-kann-immobilien.de/immobilien-rendite-berechnen/" TargetMode="External"/><Relationship Id="rId16" Type="http://schemas.openxmlformats.org/officeDocument/2006/relationships/hyperlink" Target="https://www.test.de/Wohnung-als-Kapitalanlage-Rechner-1179772-2179772/" TargetMode="External"/><Relationship Id="rId20" Type="http://schemas.openxmlformats.org/officeDocument/2006/relationships/printerSettings" Target="../printerSettings/printerSettings1.bin"/><Relationship Id="rId1" Type="http://schemas.openxmlformats.org/officeDocument/2006/relationships/hyperlink" Target="mailto:info@odenwalder-consulting.com" TargetMode="External"/><Relationship Id="rId6" Type="http://schemas.openxmlformats.org/officeDocument/2006/relationships/hyperlink" Target="https://immobilien.sparkasse.de/immobilienrechner/baukostenrechner.html" TargetMode="External"/><Relationship Id="rId11" Type="http://schemas.openxmlformats.org/officeDocument/2006/relationships/hyperlink" Target="https://www.faz.net/aktuell/finanzen/immobilien-zuegig-abschreiben-18599959.html?GEPC=s9&amp;premium=0x7494819a022a81a9f4a3f62686ef14c0561c950eb4a44415571570d2646fe373" TargetMode="External"/><Relationship Id="rId5" Type="http://schemas.openxmlformats.org/officeDocument/2006/relationships/hyperlink" Target="http://www.faz.net/aktuell/finanzen/meine-finanzen/vermoegensfragen/die-vermoegensfrage-was-werfen-immobilien-eigentlich-genau-ab-13162634.html" TargetMode="External"/><Relationship Id="rId15" Type="http://schemas.openxmlformats.org/officeDocument/2006/relationships/hyperlink" Target="https://www.faz.net/aktuell/finanzen/volker-looman/immobilien-besitzer-warum-eine-gmbh-gruendung-eine-steuerfalle-ist-18624645.html?premium=0xaaa9fab4eb295b4a46c9cf22b140a7693c7fb11727a5508bdd1f336746f3105b?GEPC=s9&amp;premium=0xaaa9fab4eb295b4a46c9cf22b140a7693c7fb11727a5508bdd1f336746f3105b" TargetMode="External"/><Relationship Id="rId10" Type="http://schemas.openxmlformats.org/officeDocument/2006/relationships/hyperlink" Target="https://prozentguru.de/gebaeude-afa-3-prozent/" TargetMode="External"/><Relationship Id="rId19" Type="http://schemas.openxmlformats.org/officeDocument/2006/relationships/hyperlink" Target="https://www.controllingportal.de/Marktplatz/Excel-Tools/Excel-Vorlage-zum-Evaluieren-einer-Immobilien-Investitionen.html" TargetMode="External"/><Relationship Id="rId4" Type="http://schemas.openxmlformats.org/officeDocument/2006/relationships/hyperlink" Target="https://ratgeber.immowelt.de/a/steuern-sparen-mit-immobilien-afa-nutzen.html" TargetMode="External"/><Relationship Id="rId9" Type="http://schemas.openxmlformats.org/officeDocument/2006/relationships/hyperlink" Target="https://www.haufe.de/immobilien/wirtschaft-politik/abschreibung-beim-mietwohnungsbau_84342_572146.html" TargetMode="External"/><Relationship Id="rId14" Type="http://schemas.openxmlformats.org/officeDocument/2006/relationships/hyperlink" Target="https://index.fmh.de/fmh-index/ueberblic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aufe.de/immobilien/investment/gebaeude-afa-nutzungsdauer-bei-abschreibung-von-immobilien_256_566570.html" TargetMode="External"/><Relationship Id="rId7" Type="http://schemas.openxmlformats.org/officeDocument/2006/relationships/comments" Target="../comments1.xml"/><Relationship Id="rId2" Type="http://schemas.openxmlformats.org/officeDocument/2006/relationships/hyperlink" Target="mailto:info@odenwalder-consulting.com" TargetMode="External"/><Relationship Id="rId1" Type="http://schemas.openxmlformats.org/officeDocument/2006/relationships/hyperlink" Target="http://www.immobilienmarktbericht-deutschland.info/onlinedienste/bodenrichtwerte/bodenrichtwerte-online-72280.html"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prozentguru.de/gebaeude-afa-3-prozent/" TargetMode="External"/><Relationship Id="rId7" Type="http://schemas.openxmlformats.org/officeDocument/2006/relationships/hyperlink" Target="https://immo-geek.com/de/wissen/rechner/degressive-afa" TargetMode="External"/><Relationship Id="rId2" Type="http://schemas.openxmlformats.org/officeDocument/2006/relationships/hyperlink" Target="https://www.haufe.de/immobilien/wirtschaft-politik/abschreibung-beim-mietwohnungsbau_84342_572146.html" TargetMode="External"/><Relationship Id="rId1" Type="http://schemas.openxmlformats.org/officeDocument/2006/relationships/hyperlink" Target="https://www.bmwsb.bund.de/SharedDocs/kurzmeldungen/Webs/BMWSB/DE/2024/03/degressive-afa.html" TargetMode="External"/><Relationship Id="rId6" Type="http://schemas.openxmlformats.org/officeDocument/2006/relationships/hyperlink" Target="https://ivd.net/bundesverband/steuerliche-vorteile-im-wohnungsbau-degressive-afa-sonderabschreibung" TargetMode="External"/><Relationship Id="rId11" Type="http://schemas.openxmlformats.org/officeDocument/2006/relationships/comments" Target="../comments2.xml"/><Relationship Id="rId5" Type="http://schemas.openxmlformats.org/officeDocument/2006/relationships/hyperlink" Target="https://www.haufe.de/immobilien/investment/gebaeude-afa-nutzungsdauer-bei-abschreibung-von-immobilien_256_566570.html" TargetMode="External"/><Relationship Id="rId10" Type="http://schemas.openxmlformats.org/officeDocument/2006/relationships/vmlDrawing" Target="../drawings/vmlDrawing2.vml"/><Relationship Id="rId4" Type="http://schemas.openxmlformats.org/officeDocument/2006/relationships/hyperlink" Target="https://www.haufe.de/immobilien/investment/gebaeude-afa-nutzungsdauer-bei-abschreibung-von-immobilien_256_566570.html"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info@odenwalder-consulting.com"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info@odenwalder-consulting.com"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8"/>
  <sheetViews>
    <sheetView tabSelected="1" workbookViewId="0">
      <pane ySplit="4" topLeftCell="A5" activePane="bottomLeft" state="frozen"/>
      <selection pane="bottomLeft" activeCell="G47" sqref="G47"/>
    </sheetView>
  </sheetViews>
  <sheetFormatPr baseColWidth="10" defaultColWidth="11.33203125" defaultRowHeight="13.95" customHeight="1"/>
  <cols>
    <col min="1" max="1" width="40.5546875" style="53" customWidth="1"/>
    <col min="2" max="6" width="11.33203125" style="53"/>
    <col min="7" max="7" width="17.109375" style="53" customWidth="1"/>
    <col min="8" max="8" width="7.44140625" style="53" customWidth="1"/>
    <col min="9" max="9" width="17.77734375" style="53" customWidth="1"/>
    <col min="10" max="16384" width="11.33203125" style="53"/>
  </cols>
  <sheetData>
    <row r="1" spans="1:9" ht="21.9" customHeight="1">
      <c r="A1" s="51" t="s">
        <v>189</v>
      </c>
      <c r="B1" s="52"/>
      <c r="C1" s="52"/>
      <c r="D1" s="52"/>
      <c r="F1" s="267" t="s">
        <v>285</v>
      </c>
      <c r="G1" s="268" t="s">
        <v>713</v>
      </c>
      <c r="H1" s="267" t="s">
        <v>371</v>
      </c>
      <c r="I1" s="269">
        <v>46002</v>
      </c>
    </row>
    <row r="2" spans="1:9" ht="21.9" customHeight="1">
      <c r="A2" s="51" t="s">
        <v>787</v>
      </c>
      <c r="B2" s="52"/>
      <c r="C2" s="52"/>
      <c r="D2" s="52"/>
      <c r="E2" s="52"/>
      <c r="F2" s="52"/>
      <c r="G2" s="52"/>
    </row>
    <row r="3" spans="1:9" ht="21.9" customHeight="1">
      <c r="A3" s="121" t="s">
        <v>245</v>
      </c>
      <c r="B3" s="118"/>
      <c r="C3" s="119"/>
      <c r="D3" s="119"/>
      <c r="E3" s="119"/>
      <c r="F3" s="119"/>
      <c r="G3" s="119"/>
    </row>
    <row r="4" spans="1:9" ht="21.9" customHeight="1">
      <c r="A4" s="120" t="s">
        <v>167</v>
      </c>
      <c r="B4" s="119"/>
      <c r="C4" s="119"/>
      <c r="D4" s="119"/>
      <c r="E4" s="119"/>
      <c r="F4" s="118"/>
      <c r="G4" s="118"/>
    </row>
    <row r="6" spans="1:9" ht="20.7" customHeight="1">
      <c r="A6" s="55" t="s">
        <v>2</v>
      </c>
    </row>
    <row r="7" spans="1:9" ht="20.7" customHeight="1">
      <c r="A7" s="62" t="s">
        <v>3</v>
      </c>
      <c r="B7" s="63"/>
      <c r="C7" s="54"/>
    </row>
    <row r="8" spans="1:9" ht="20.7" customHeight="1">
      <c r="A8" s="62" t="s">
        <v>4</v>
      </c>
      <c r="B8" s="64"/>
      <c r="C8" s="56"/>
      <c r="D8" s="55"/>
      <c r="E8" s="55"/>
    </row>
    <row r="9" spans="1:9" ht="20.7" customHeight="1">
      <c r="A9" s="55"/>
      <c r="B9" s="55"/>
      <c r="C9" s="55"/>
      <c r="D9" s="55"/>
      <c r="E9" s="55"/>
    </row>
    <row r="10" spans="1:9" ht="20.7" customHeight="1">
      <c r="A10" s="123" t="s">
        <v>5</v>
      </c>
    </row>
    <row r="11" spans="1:9" ht="12" customHeight="1">
      <c r="A11" s="116"/>
    </row>
    <row r="12" spans="1:9" ht="22.2" customHeight="1">
      <c r="A12" s="117" t="s">
        <v>237</v>
      </c>
    </row>
    <row r="13" spans="1:9" ht="22.05" customHeight="1">
      <c r="A13" s="117" t="s">
        <v>240</v>
      </c>
    </row>
    <row r="14" spans="1:9" ht="22.05" customHeight="1">
      <c r="A14" s="117" t="s">
        <v>241</v>
      </c>
    </row>
    <row r="15" spans="1:9" ht="22.05" customHeight="1">
      <c r="A15" s="117" t="s">
        <v>238</v>
      </c>
    </row>
    <row r="16" spans="1:9" ht="22.05" customHeight="1">
      <c r="A16" s="117" t="s">
        <v>244</v>
      </c>
    </row>
    <row r="17" spans="1:6" ht="22.05" customHeight="1">
      <c r="A17" s="117" t="s">
        <v>243</v>
      </c>
    </row>
    <row r="18" spans="1:6" ht="22.05" customHeight="1">
      <c r="A18" s="117" t="s">
        <v>239</v>
      </c>
    </row>
    <row r="19" spans="1:6" ht="12" customHeight="1"/>
    <row r="20" spans="1:6" ht="20.7" customHeight="1">
      <c r="A20" s="55" t="s">
        <v>536</v>
      </c>
      <c r="B20" s="124"/>
      <c r="C20" s="124"/>
      <c r="D20" s="124"/>
      <c r="E20" s="124"/>
      <c r="F20" s="124"/>
    </row>
    <row r="21" spans="1:6" ht="20.7" customHeight="1">
      <c r="A21" s="61" t="s">
        <v>537</v>
      </c>
    </row>
    <row r="22" spans="1:6" ht="20.7" customHeight="1">
      <c r="A22" s="61" t="s">
        <v>785</v>
      </c>
    </row>
    <row r="23" spans="1:6" ht="20.7" customHeight="1">
      <c r="A23" s="61" t="s">
        <v>786</v>
      </c>
    </row>
    <row r="24" spans="1:6" ht="20.7" customHeight="1">
      <c r="A24" s="61"/>
    </row>
    <row r="25" spans="1:6" ht="20.7" customHeight="1">
      <c r="A25" s="61" t="s">
        <v>6</v>
      </c>
    </row>
    <row r="26" spans="1:6" ht="20.7" customHeight="1">
      <c r="A26" s="61" t="s">
        <v>7</v>
      </c>
    </row>
    <row r="27" spans="1:6" ht="20.7" customHeight="1">
      <c r="A27" s="61" t="s">
        <v>258</v>
      </c>
      <c r="D27" s="125"/>
    </row>
    <row r="28" spans="1:6" ht="20.7" customHeight="1">
      <c r="A28" s="61" t="s">
        <v>247</v>
      </c>
    </row>
    <row r="29" spans="1:6" ht="20.7" customHeight="1">
      <c r="A29" s="61" t="s">
        <v>248</v>
      </c>
    </row>
    <row r="30" spans="1:6" ht="20.7" customHeight="1">
      <c r="A30" s="61" t="s">
        <v>249</v>
      </c>
    </row>
    <row r="31" spans="1:6" ht="20.7" customHeight="1">
      <c r="A31" s="61" t="s">
        <v>250</v>
      </c>
    </row>
    <row r="32" spans="1:6" ht="20.7" customHeight="1">
      <c r="A32" s="61" t="s">
        <v>251</v>
      </c>
    </row>
    <row r="33" spans="1:10" ht="20.7" customHeight="1">
      <c r="A33" s="61" t="s">
        <v>252</v>
      </c>
    </row>
    <row r="34" spans="1:10" ht="20.7" customHeight="1">
      <c r="A34" s="61" t="s">
        <v>253</v>
      </c>
    </row>
    <row r="35" spans="1:10" ht="20.7" customHeight="1">
      <c r="A35" s="61" t="s">
        <v>254</v>
      </c>
    </row>
    <row r="36" spans="1:10" ht="20.7" customHeight="1">
      <c r="A36" s="61" t="s">
        <v>255</v>
      </c>
    </row>
    <row r="37" spans="1:10" ht="20.7" customHeight="1">
      <c r="A37" s="61" t="s">
        <v>256</v>
      </c>
    </row>
    <row r="38" spans="1:10" ht="20.7" customHeight="1">
      <c r="A38" s="53" t="s">
        <v>257</v>
      </c>
    </row>
    <row r="39" spans="1:10" ht="20.7" customHeight="1"/>
    <row r="40" spans="1:10" ht="20.7" customHeight="1">
      <c r="A40" s="126" t="s">
        <v>8</v>
      </c>
      <c r="B40" s="127"/>
      <c r="C40" s="127"/>
      <c r="D40" s="127"/>
      <c r="E40" s="127"/>
      <c r="F40" s="127"/>
      <c r="G40" s="127"/>
      <c r="H40" s="127"/>
      <c r="I40" s="127"/>
      <c r="J40" s="127"/>
    </row>
    <row r="41" spans="1:10" ht="20.7" customHeight="1">
      <c r="A41" s="104" t="s">
        <v>9</v>
      </c>
      <c r="B41" s="105"/>
      <c r="C41" s="105"/>
      <c r="D41" s="105"/>
      <c r="E41" s="105"/>
      <c r="F41" s="127"/>
      <c r="G41" s="127"/>
      <c r="H41" s="127"/>
      <c r="I41" s="127"/>
      <c r="J41" s="127"/>
    </row>
    <row r="42" spans="1:10" ht="20.7" customHeight="1">
      <c r="A42" s="106" t="s">
        <v>260</v>
      </c>
      <c r="B42" s="105"/>
      <c r="C42" s="105"/>
      <c r="D42" s="105"/>
      <c r="E42" s="105"/>
      <c r="F42" s="127"/>
      <c r="G42" s="127"/>
      <c r="H42" s="127"/>
      <c r="I42" s="127"/>
      <c r="J42" s="127"/>
    </row>
    <row r="43" spans="1:10" ht="20.7" customHeight="1">
      <c r="A43" s="106" t="s">
        <v>259</v>
      </c>
      <c r="B43" s="105"/>
      <c r="C43" s="105"/>
      <c r="D43" s="105"/>
      <c r="E43" s="105"/>
      <c r="F43" s="127"/>
      <c r="G43" s="127"/>
      <c r="H43" s="127"/>
      <c r="I43" s="127"/>
      <c r="J43" s="127"/>
    </row>
    <row r="44" spans="1:10" ht="42" customHeight="1">
      <c r="A44" s="611" t="s">
        <v>190</v>
      </c>
      <c r="B44" s="611"/>
      <c r="C44" s="611"/>
    </row>
    <row r="45" spans="1:10" ht="20.7" customHeight="1">
      <c r="A45" s="122" t="s">
        <v>242</v>
      </c>
    </row>
    <row r="46" spans="1:10" ht="20.7" customHeight="1">
      <c r="A46" s="57" t="s">
        <v>10</v>
      </c>
    </row>
    <row r="47" spans="1:10" ht="20.7" customHeight="1">
      <c r="A47" s="57"/>
    </row>
    <row r="48" spans="1:10" ht="20.7" customHeight="1">
      <c r="A48" s="296" t="s">
        <v>393</v>
      </c>
    </row>
    <row r="49" spans="1:5" ht="20.7" customHeight="1">
      <c r="A49" s="330" t="s">
        <v>544</v>
      </c>
    </row>
    <row r="50" spans="1:5" ht="20.7" customHeight="1">
      <c r="A50" s="490" t="s">
        <v>629</v>
      </c>
    </row>
    <row r="51" spans="1:5" ht="20.7" customHeight="1">
      <c r="A51" s="490"/>
    </row>
    <row r="52" spans="1:5" ht="20.7" customHeight="1">
      <c r="A52" s="613" t="s">
        <v>761</v>
      </c>
      <c r="B52" s="613"/>
      <c r="C52" s="613"/>
    </row>
    <row r="53" spans="1:5" ht="20.7" customHeight="1">
      <c r="A53" s="53" t="s">
        <v>781</v>
      </c>
    </row>
    <row r="54" spans="1:5" ht="20.7" customHeight="1">
      <c r="A54" s="53" t="s">
        <v>773</v>
      </c>
    </row>
    <row r="55" spans="1:5" ht="20.7" customHeight="1">
      <c r="A55" s="490"/>
    </row>
    <row r="56" spans="1:5" ht="20.7" customHeight="1">
      <c r="A56" s="490"/>
    </row>
    <row r="57" spans="1:5" ht="20.7" customHeight="1">
      <c r="A57" s="490"/>
    </row>
    <row r="58" spans="1:5" ht="20.7" customHeight="1">
      <c r="A58" s="490"/>
    </row>
    <row r="59" spans="1:5" ht="20.7" customHeight="1">
      <c r="A59" s="490"/>
    </row>
    <row r="60" spans="1:5" ht="20.7" customHeight="1">
      <c r="A60" s="490"/>
    </row>
    <row r="61" spans="1:5" ht="20.7" customHeight="1">
      <c r="A61" s="57"/>
    </row>
    <row r="62" spans="1:5" ht="20.7" customHeight="1">
      <c r="A62" s="327" t="s">
        <v>182</v>
      </c>
      <c r="B62" s="124"/>
      <c r="C62" s="124"/>
      <c r="D62" s="124"/>
      <c r="E62" s="124"/>
    </row>
    <row r="63" spans="1:5" ht="20.7" customHeight="1">
      <c r="A63" s="96" t="s">
        <v>179</v>
      </c>
    </row>
    <row r="64" spans="1:5" ht="20.7" customHeight="1">
      <c r="A64" s="96" t="s">
        <v>180</v>
      </c>
    </row>
    <row r="65" spans="1:2" ht="20.7" customHeight="1">
      <c r="A65" s="96" t="s">
        <v>181</v>
      </c>
    </row>
    <row r="66" spans="1:2" ht="20.7" customHeight="1">
      <c r="A66" s="96" t="s">
        <v>211</v>
      </c>
    </row>
    <row r="67" spans="1:2" ht="20.7" customHeight="1">
      <c r="A67" s="96" t="s">
        <v>224</v>
      </c>
    </row>
    <row r="68" spans="1:2" ht="20.7" customHeight="1">
      <c r="A68" s="96" t="s">
        <v>225</v>
      </c>
    </row>
    <row r="69" spans="1:2" ht="20.7" customHeight="1">
      <c r="A69" s="96" t="s">
        <v>518</v>
      </c>
    </row>
    <row r="70" spans="1:2" ht="20.7" customHeight="1">
      <c r="A70" s="406" t="s">
        <v>538</v>
      </c>
    </row>
    <row r="71" spans="1:2" ht="20.7" customHeight="1">
      <c r="A71" s="406" t="s">
        <v>540</v>
      </c>
    </row>
    <row r="72" spans="1:2" ht="20.7" customHeight="1">
      <c r="A72" s="406" t="s">
        <v>542</v>
      </c>
    </row>
    <row r="73" spans="1:2" ht="20.7" customHeight="1">
      <c r="A73" s="406"/>
    </row>
    <row r="74" spans="1:2" ht="20.7" customHeight="1"/>
    <row r="75" spans="1:2" ht="20.7" customHeight="1">
      <c r="A75" s="327" t="s">
        <v>408</v>
      </c>
    </row>
    <row r="76" spans="1:2" ht="20.7" customHeight="1">
      <c r="A76" s="329" t="s">
        <v>418</v>
      </c>
      <c r="B76" s="96" t="s">
        <v>417</v>
      </c>
    </row>
    <row r="77" spans="1:2" ht="20.7" customHeight="1">
      <c r="A77" s="328" t="s">
        <v>409</v>
      </c>
    </row>
    <row r="78" spans="1:2" ht="20.7" customHeight="1">
      <c r="A78" s="328" t="s">
        <v>410</v>
      </c>
    </row>
    <row r="79" spans="1:2" ht="20.7" customHeight="1">
      <c r="A79" s="328" t="s">
        <v>411</v>
      </c>
    </row>
    <row r="80" spans="1:2" ht="20.7" customHeight="1">
      <c r="A80" s="328" t="s">
        <v>412</v>
      </c>
    </row>
    <row r="81" spans="1:9" ht="20.7" customHeight="1">
      <c r="A81" s="424" t="s">
        <v>561</v>
      </c>
    </row>
    <row r="82" spans="1:9" ht="20.7" customHeight="1">
      <c r="A82" s="424" t="s">
        <v>560</v>
      </c>
    </row>
    <row r="83" spans="1:9" ht="20.7" customHeight="1">
      <c r="A83" s="425" t="s">
        <v>562</v>
      </c>
    </row>
    <row r="84" spans="1:9" ht="20.7" customHeight="1">
      <c r="A84" s="328" t="s">
        <v>413</v>
      </c>
    </row>
    <row r="85" spans="1:9" ht="20.7" customHeight="1">
      <c r="A85" s="328" t="s">
        <v>414</v>
      </c>
    </row>
    <row r="86" spans="1:9" ht="20.7" customHeight="1">
      <c r="A86" s="328" t="s">
        <v>415</v>
      </c>
    </row>
    <row r="87" spans="1:9" ht="20.7" customHeight="1">
      <c r="A87" s="328" t="s">
        <v>416</v>
      </c>
    </row>
    <row r="88" spans="1:9" ht="20.7" customHeight="1">
      <c r="A88" s="53" t="s">
        <v>476</v>
      </c>
      <c r="B88" s="96" t="s">
        <v>559</v>
      </c>
    </row>
    <row r="89" spans="1:9" ht="20.7" customHeight="1">
      <c r="B89" s="96"/>
    </row>
    <row r="90" spans="1:9" ht="20.7" customHeight="1">
      <c r="A90" s="111" t="s">
        <v>419</v>
      </c>
    </row>
    <row r="91" spans="1:9" ht="48.6" customHeight="1">
      <c r="A91" s="612" t="s">
        <v>420</v>
      </c>
      <c r="B91" s="612"/>
      <c r="C91" s="612"/>
      <c r="D91" s="612"/>
      <c r="E91" s="612"/>
      <c r="F91" s="612"/>
      <c r="G91" s="612"/>
      <c r="H91" s="612"/>
      <c r="I91" s="612"/>
    </row>
    <row r="92" spans="1:9" ht="20.7" customHeight="1"/>
    <row r="93" spans="1:9" ht="20.7" customHeight="1"/>
    <row r="94" spans="1:9" ht="20.7" customHeight="1">
      <c r="A94" s="327" t="s">
        <v>421</v>
      </c>
    </row>
    <row r="95" spans="1:9" ht="20.7" customHeight="1">
      <c r="A95" s="329" t="s">
        <v>418</v>
      </c>
      <c r="B95" s="96" t="s">
        <v>425</v>
      </c>
    </row>
    <row r="96" spans="1:9" ht="33.6" customHeight="1">
      <c r="A96" s="612" t="s">
        <v>422</v>
      </c>
      <c r="B96" s="612"/>
      <c r="C96" s="612"/>
      <c r="D96" s="612"/>
      <c r="E96" s="612"/>
      <c r="F96" s="612"/>
      <c r="G96" s="612"/>
      <c r="H96" s="612"/>
      <c r="I96" s="612"/>
    </row>
    <row r="97" spans="1:9" ht="33.6" customHeight="1">
      <c r="A97" s="612" t="s">
        <v>423</v>
      </c>
      <c r="B97" s="612"/>
      <c r="C97" s="612"/>
      <c r="D97" s="612"/>
      <c r="E97" s="612"/>
      <c r="F97" s="612"/>
      <c r="G97" s="612"/>
      <c r="H97" s="612"/>
      <c r="I97" s="612"/>
    </row>
    <row r="98" spans="1:9" ht="18" customHeight="1">
      <c r="A98" s="612" t="s">
        <v>424</v>
      </c>
      <c r="B98" s="612"/>
      <c r="C98" s="612"/>
      <c r="D98" s="612"/>
      <c r="E98" s="612"/>
      <c r="F98" s="612"/>
      <c r="G98" s="612"/>
      <c r="H98" s="612"/>
      <c r="I98" s="612"/>
    </row>
    <row r="100" spans="1:9" ht="13.95" customHeight="1">
      <c r="A100" s="397" t="s">
        <v>476</v>
      </c>
      <c r="B100" s="96" t="s">
        <v>434</v>
      </c>
    </row>
    <row r="101" spans="1:9" ht="13.95" customHeight="1">
      <c r="A101" s="397" t="s">
        <v>476</v>
      </c>
      <c r="B101" s="96" t="s">
        <v>520</v>
      </c>
    </row>
    <row r="107" spans="1:9" s="404" customFormat="1" ht="31.2" customHeight="1">
      <c r="A107" s="403" t="s">
        <v>521</v>
      </c>
      <c r="B107"/>
      <c r="C107"/>
      <c r="D107"/>
      <c r="E107"/>
      <c r="F107"/>
      <c r="G107"/>
      <c r="H107"/>
      <c r="I107"/>
    </row>
    <row r="108" spans="1:9" s="404" customFormat="1" ht="13.95" customHeight="1">
      <c r="A108"/>
      <c r="B108"/>
      <c r="C108"/>
      <c r="D108"/>
      <c r="E108"/>
      <c r="F108"/>
      <c r="G108"/>
      <c r="H108"/>
      <c r="I108"/>
    </row>
    <row r="109" spans="1:9" s="404" customFormat="1" ht="13.95" customHeight="1">
      <c r="A109" s="400" t="s">
        <v>532</v>
      </c>
      <c r="B109"/>
      <c r="C109"/>
      <c r="D109"/>
      <c r="E109"/>
      <c r="F109"/>
      <c r="G109"/>
      <c r="H109"/>
      <c r="I109"/>
    </row>
    <row r="110" spans="1:9" s="404" customFormat="1" ht="13.95" customHeight="1">
      <c r="A110" s="400" t="s">
        <v>533</v>
      </c>
      <c r="B110"/>
      <c r="C110"/>
      <c r="D110"/>
      <c r="E110"/>
      <c r="F110"/>
      <c r="G110"/>
      <c r="H110"/>
      <c r="I110"/>
    </row>
    <row r="111" spans="1:9" s="404" customFormat="1" ht="13.95" customHeight="1">
      <c r="A111" s="400" t="s">
        <v>522</v>
      </c>
      <c r="B111"/>
      <c r="C111"/>
      <c r="D111"/>
      <c r="E111"/>
      <c r="F111"/>
      <c r="G111"/>
      <c r="H111"/>
      <c r="I111"/>
    </row>
    <row r="112" spans="1:9" s="404" customFormat="1" ht="13.95" customHeight="1">
      <c r="B112"/>
      <c r="C112"/>
      <c r="D112"/>
      <c r="E112"/>
      <c r="F112"/>
      <c r="G112"/>
      <c r="H112"/>
      <c r="I112"/>
    </row>
    <row r="113" spans="1:9" s="404" customFormat="1" ht="13.95" customHeight="1">
      <c r="B113"/>
      <c r="C113"/>
      <c r="D113"/>
      <c r="E113"/>
      <c r="F113"/>
      <c r="G113"/>
      <c r="H113"/>
      <c r="I113"/>
    </row>
    <row r="114" spans="1:9" s="404" customFormat="1" ht="13.95" customHeight="1">
      <c r="B114"/>
      <c r="C114"/>
      <c r="D114"/>
      <c r="E114"/>
      <c r="F114"/>
      <c r="G114"/>
      <c r="H114"/>
      <c r="I114"/>
    </row>
    <row r="115" spans="1:9" s="404" customFormat="1" ht="13.95" customHeight="1"/>
    <row r="116" spans="1:9" s="404" customFormat="1" ht="13.95" customHeight="1"/>
    <row r="117" spans="1:9" s="404" customFormat="1" ht="13.95" customHeight="1"/>
    <row r="118" spans="1:9" s="404" customFormat="1" ht="13.95" customHeight="1">
      <c r="A118" s="400"/>
      <c r="B118"/>
      <c r="C118"/>
      <c r="D118"/>
      <c r="E118"/>
      <c r="F118"/>
      <c r="G118"/>
      <c r="H118"/>
      <c r="I118"/>
    </row>
    <row r="119" spans="1:9" s="404" customFormat="1" ht="13.95" customHeight="1">
      <c r="A119" s="400"/>
      <c r="B119"/>
      <c r="C119"/>
      <c r="D119"/>
      <c r="E119"/>
      <c r="F119"/>
      <c r="G119"/>
      <c r="H119"/>
      <c r="I119"/>
    </row>
    <row r="120" spans="1:9" s="404" customFormat="1" ht="13.95" customHeight="1">
      <c r="A120" s="400" t="s">
        <v>535</v>
      </c>
    </row>
    <row r="121" spans="1:9" s="404" customFormat="1" ht="13.95" customHeight="1">
      <c r="A121" s="400" t="s">
        <v>534</v>
      </c>
      <c r="B121"/>
      <c r="C121"/>
      <c r="D121"/>
      <c r="E121"/>
      <c r="F121"/>
      <c r="G121"/>
      <c r="H121"/>
      <c r="I121"/>
    </row>
    <row r="122" spans="1:9" s="404" customFormat="1" ht="13.95" customHeight="1">
      <c r="A122" s="400" t="s">
        <v>523</v>
      </c>
      <c r="B122"/>
      <c r="C122"/>
      <c r="D122"/>
      <c r="E122"/>
      <c r="F122"/>
      <c r="G122"/>
      <c r="H122"/>
      <c r="I122"/>
    </row>
    <row r="123" spans="1:9" s="404" customFormat="1" ht="13.95" customHeight="1">
      <c r="A123" s="400"/>
      <c r="B123"/>
      <c r="C123"/>
      <c r="D123"/>
      <c r="E123"/>
      <c r="F123"/>
      <c r="G123"/>
      <c r="H123"/>
      <c r="I123"/>
    </row>
    <row r="124" spans="1:9" s="404" customFormat="1" ht="13.95" customHeight="1">
      <c r="A124" s="400" t="s">
        <v>524</v>
      </c>
      <c r="B124"/>
      <c r="C124"/>
      <c r="D124"/>
      <c r="E124"/>
      <c r="F124"/>
      <c r="G124"/>
      <c r="H124"/>
      <c r="I124"/>
    </row>
    <row r="125" spans="1:9" ht="13.95" customHeight="1" thickBot="1">
      <c r="A125" s="398"/>
      <c r="B125"/>
      <c r="C125"/>
      <c r="D125"/>
      <c r="E125"/>
      <c r="F125"/>
      <c r="G125"/>
      <c r="H125"/>
      <c r="I125"/>
    </row>
    <row r="126" spans="1:9" ht="15.6" customHeight="1">
      <c r="A126" s="605" t="s">
        <v>525</v>
      </c>
      <c r="B126" s="606"/>
      <c r="C126" s="457"/>
      <c r="D126" s="457"/>
      <c r="E126" s="457"/>
      <c r="F126" s="458"/>
      <c r="G126" s="596" t="s">
        <v>528</v>
      </c>
      <c r="H126" s="597"/>
      <c r="I126" s="598"/>
    </row>
    <row r="127" spans="1:9" ht="15.6" customHeight="1">
      <c r="A127" s="607" t="s">
        <v>526</v>
      </c>
      <c r="B127" s="608"/>
      <c r="C127" s="459"/>
      <c r="D127" s="459"/>
      <c r="E127" s="459"/>
      <c r="F127" s="460"/>
      <c r="G127" s="599" t="s">
        <v>529</v>
      </c>
      <c r="H127" s="600"/>
      <c r="I127" s="601"/>
    </row>
    <row r="128" spans="1:9" ht="15.6" customHeight="1" thickBot="1">
      <c r="A128" s="609" t="s">
        <v>527</v>
      </c>
      <c r="B128" s="610"/>
      <c r="C128" s="461"/>
      <c r="D128" s="461"/>
      <c r="E128" s="461"/>
      <c r="F128" s="462"/>
      <c r="G128" s="602"/>
      <c r="H128" s="603"/>
      <c r="I128" s="604"/>
    </row>
    <row r="129" spans="1:9" ht="13.95" customHeight="1" thickBot="1">
      <c r="A129" s="399"/>
      <c r="B129" s="593" t="s">
        <v>530</v>
      </c>
      <c r="C129" s="594"/>
      <c r="D129" s="594"/>
      <c r="E129" s="594"/>
      <c r="F129" s="594"/>
      <c r="G129" s="594"/>
      <c r="H129" s="594"/>
      <c r="I129" s="595"/>
    </row>
    <row r="130" spans="1:9" ht="13.95" customHeight="1" thickBot="1">
      <c r="A130" s="401" t="s">
        <v>158</v>
      </c>
      <c r="B130" s="405">
        <v>0.01</v>
      </c>
      <c r="C130" s="405">
        <v>0.02</v>
      </c>
      <c r="D130" s="405">
        <v>0.03</v>
      </c>
      <c r="E130" s="405">
        <v>0.04</v>
      </c>
      <c r="F130" s="405">
        <v>0.05</v>
      </c>
      <c r="G130" s="405">
        <v>0.06</v>
      </c>
      <c r="H130" s="405">
        <v>7.0000000000000007E-2</v>
      </c>
      <c r="I130" s="405">
        <v>0.08</v>
      </c>
    </row>
    <row r="131" spans="1:9" ht="13.95" customHeight="1" thickBot="1">
      <c r="A131" s="402">
        <v>0.01</v>
      </c>
      <c r="B131" s="412">
        <v>69.3</v>
      </c>
      <c r="C131" s="412">
        <v>55</v>
      </c>
      <c r="D131" s="412">
        <v>46.3</v>
      </c>
      <c r="E131" s="412">
        <v>40.299999999999997</v>
      </c>
      <c r="F131" s="412">
        <v>35.9</v>
      </c>
      <c r="G131" s="412">
        <v>32.5</v>
      </c>
      <c r="H131" s="412">
        <v>29.8</v>
      </c>
      <c r="I131" s="412">
        <v>27.6</v>
      </c>
    </row>
    <row r="132" spans="1:9" ht="13.95" customHeight="1" thickBot="1">
      <c r="A132" s="402">
        <v>0.02</v>
      </c>
      <c r="B132" s="412">
        <v>40.6</v>
      </c>
      <c r="C132" s="412">
        <v>34.700000000000003</v>
      </c>
      <c r="D132" s="412">
        <v>30.6</v>
      </c>
      <c r="E132" s="412">
        <v>27.5</v>
      </c>
      <c r="F132" s="412">
        <v>25.1</v>
      </c>
      <c r="G132" s="412">
        <v>23.2</v>
      </c>
      <c r="H132" s="412">
        <v>21.5</v>
      </c>
      <c r="I132" s="412">
        <v>20.2</v>
      </c>
    </row>
    <row r="133" spans="1:9" ht="13.95" customHeight="1" thickBot="1">
      <c r="A133" s="402">
        <v>0.03</v>
      </c>
      <c r="B133" s="412">
        <v>28.8</v>
      </c>
      <c r="C133" s="412">
        <v>25.6</v>
      </c>
      <c r="D133" s="412">
        <v>23.1</v>
      </c>
      <c r="E133" s="412">
        <v>21.2</v>
      </c>
      <c r="F133" s="412">
        <v>19.7</v>
      </c>
      <c r="G133" s="412">
        <v>18.399999999999999</v>
      </c>
      <c r="H133" s="412">
        <v>17.2</v>
      </c>
      <c r="I133" s="412">
        <v>16.3</v>
      </c>
    </row>
    <row r="134" spans="1:9" ht="13.95" customHeight="1" thickBot="1">
      <c r="A134" s="402">
        <v>0.04</v>
      </c>
      <c r="B134" s="412">
        <v>22.3</v>
      </c>
      <c r="C134" s="412">
        <v>20.3</v>
      </c>
      <c r="D134" s="412">
        <v>18.7</v>
      </c>
      <c r="E134" s="412">
        <v>17.399999999999999</v>
      </c>
      <c r="F134" s="412">
        <v>16.3</v>
      </c>
      <c r="G134" s="412">
        <v>15.3</v>
      </c>
      <c r="H134" s="412">
        <v>14.5</v>
      </c>
      <c r="I134" s="412">
        <v>13.8</v>
      </c>
    </row>
    <row r="135" spans="1:9" ht="13.95" customHeight="1" thickBot="1">
      <c r="A135" s="402">
        <v>0.05</v>
      </c>
      <c r="B135" s="412">
        <v>18.2</v>
      </c>
      <c r="C135" s="412">
        <v>16.8</v>
      </c>
      <c r="D135" s="412">
        <v>15.7</v>
      </c>
      <c r="E135" s="412">
        <v>14.7</v>
      </c>
      <c r="F135" s="412">
        <v>13.9</v>
      </c>
      <c r="G135" s="412">
        <v>13.2</v>
      </c>
      <c r="H135" s="412">
        <v>12.5</v>
      </c>
      <c r="I135" s="412">
        <v>12</v>
      </c>
    </row>
    <row r="136" spans="1:9" ht="13.95" customHeight="1" thickBot="1">
      <c r="A136" s="402">
        <v>0.06</v>
      </c>
      <c r="B136" s="412">
        <v>15.4</v>
      </c>
      <c r="C136" s="412">
        <v>14.4</v>
      </c>
      <c r="D136" s="412">
        <v>13.5</v>
      </c>
      <c r="E136" s="412">
        <v>12.8</v>
      </c>
      <c r="F136" s="412">
        <v>12.1</v>
      </c>
      <c r="G136" s="412">
        <v>11.6</v>
      </c>
      <c r="H136" s="412">
        <v>11.1</v>
      </c>
      <c r="I136" s="412">
        <v>10.6</v>
      </c>
    </row>
    <row r="137" spans="1:9" ht="13.95" customHeight="1" thickBot="1">
      <c r="A137" s="402">
        <v>7.0000000000000007E-2</v>
      </c>
      <c r="B137" s="412">
        <v>13.4</v>
      </c>
      <c r="C137" s="412">
        <v>12.6</v>
      </c>
      <c r="D137" s="412">
        <v>11.9</v>
      </c>
      <c r="E137" s="412">
        <v>11.3</v>
      </c>
      <c r="F137" s="412">
        <v>10.8</v>
      </c>
      <c r="G137" s="412">
        <v>10.3</v>
      </c>
      <c r="H137" s="412">
        <v>9.9</v>
      </c>
      <c r="I137" s="412">
        <v>9.6</v>
      </c>
    </row>
    <row r="138" spans="1:9" ht="13.95" customHeight="1" thickBot="1">
      <c r="A138" s="402">
        <v>0.08</v>
      </c>
      <c r="B138" s="412">
        <v>11.8</v>
      </c>
      <c r="C138" s="412">
        <v>11.2</v>
      </c>
      <c r="D138" s="412">
        <v>10.6</v>
      </c>
      <c r="E138" s="412">
        <v>10.199999999999999</v>
      </c>
      <c r="F138" s="412">
        <v>9.6999999999999993</v>
      </c>
      <c r="G138" s="412">
        <v>9.4</v>
      </c>
      <c r="H138" s="412">
        <v>9</v>
      </c>
      <c r="I138" s="412">
        <v>8.6999999999999993</v>
      </c>
    </row>
    <row r="139" spans="1:9" ht="13.95" customHeight="1" thickBot="1">
      <c r="A139" s="402">
        <v>0.09</v>
      </c>
      <c r="B139" s="412">
        <v>10.5</v>
      </c>
      <c r="C139" s="412">
        <v>10</v>
      </c>
      <c r="D139" s="412">
        <v>9.6</v>
      </c>
      <c r="E139" s="412">
        <v>9.1999999999999993</v>
      </c>
      <c r="F139" s="412">
        <v>8.9</v>
      </c>
      <c r="G139" s="412">
        <v>8.5</v>
      </c>
      <c r="H139" s="412">
        <v>8.1999999999999993</v>
      </c>
      <c r="I139" s="412">
        <v>8</v>
      </c>
    </row>
    <row r="140" spans="1:9" ht="13.95" customHeight="1" thickBot="1">
      <c r="A140" s="402">
        <v>0.1</v>
      </c>
      <c r="B140" s="412">
        <v>9.5</v>
      </c>
      <c r="C140" s="412">
        <v>9.1</v>
      </c>
      <c r="D140" s="412">
        <v>8.8000000000000007</v>
      </c>
      <c r="E140" s="412">
        <v>8.4</v>
      </c>
      <c r="F140" s="412">
        <v>8.1</v>
      </c>
      <c r="G140" s="412">
        <v>7.9</v>
      </c>
      <c r="H140" s="412">
        <v>7.6</v>
      </c>
      <c r="I140" s="412">
        <v>7.4</v>
      </c>
    </row>
    <row r="141" spans="1:9" ht="13.95" customHeight="1">
      <c r="A141" s="400"/>
      <c r="B141"/>
      <c r="C141"/>
      <c r="D141"/>
      <c r="E141"/>
      <c r="F141"/>
      <c r="G141"/>
      <c r="H141"/>
      <c r="I141"/>
    </row>
    <row r="142" spans="1:9" s="404" customFormat="1" ht="13.95" customHeight="1">
      <c r="A142" s="400" t="s">
        <v>531</v>
      </c>
      <c r="B142"/>
      <c r="C142"/>
      <c r="D142"/>
      <c r="E142"/>
      <c r="F142"/>
      <c r="G142"/>
      <c r="H142"/>
      <c r="I142"/>
    </row>
    <row r="148" spans="1:7" ht="33" customHeight="1">
      <c r="A148" s="407" t="s">
        <v>539</v>
      </c>
      <c r="B148" s="406" t="s">
        <v>538</v>
      </c>
    </row>
    <row r="151" spans="1:7" ht="22.2" customHeight="1">
      <c r="A151" s="413" t="s">
        <v>45</v>
      </c>
    </row>
    <row r="152" spans="1:7" ht="13.95" customHeight="1">
      <c r="A152" s="592" t="s">
        <v>543</v>
      </c>
      <c r="B152" s="592"/>
      <c r="C152" s="592"/>
      <c r="D152" s="592"/>
      <c r="E152" s="592"/>
      <c r="F152" s="592"/>
      <c r="G152" s="592"/>
    </row>
    <row r="153" spans="1:7" ht="13.95" customHeight="1">
      <c r="A153" s="592"/>
      <c r="B153" s="592"/>
      <c r="C153" s="592"/>
      <c r="D153" s="592"/>
      <c r="E153" s="592"/>
      <c r="F153" s="592"/>
      <c r="G153" s="592"/>
    </row>
    <row r="154" spans="1:7" ht="13.95" customHeight="1">
      <c r="A154" s="592"/>
      <c r="B154" s="592"/>
      <c r="C154" s="592"/>
      <c r="D154" s="592"/>
      <c r="E154" s="592"/>
      <c r="F154" s="592"/>
      <c r="G154" s="592"/>
    </row>
    <row r="155" spans="1:7" ht="13.95" customHeight="1">
      <c r="A155" s="592"/>
      <c r="B155" s="592"/>
      <c r="C155" s="592"/>
      <c r="D155" s="592"/>
      <c r="E155" s="592"/>
      <c r="F155" s="592"/>
      <c r="G155" s="592"/>
    </row>
    <row r="156" spans="1:7" ht="13.95" customHeight="1">
      <c r="A156" s="592"/>
      <c r="B156" s="592"/>
      <c r="C156" s="592"/>
      <c r="D156" s="592"/>
      <c r="E156" s="592"/>
      <c r="F156" s="592"/>
      <c r="G156" s="592"/>
    </row>
    <row r="157" spans="1:7" ht="13.95" customHeight="1">
      <c r="A157" s="592"/>
      <c r="B157" s="592"/>
      <c r="C157" s="592"/>
      <c r="D157" s="592"/>
      <c r="E157" s="592"/>
      <c r="F157" s="592"/>
      <c r="G157" s="592"/>
    </row>
    <row r="158" spans="1:7" ht="13.95" customHeight="1">
      <c r="A158" s="592"/>
      <c r="B158" s="592"/>
      <c r="C158" s="592"/>
      <c r="D158" s="592"/>
      <c r="E158" s="592"/>
      <c r="F158" s="592"/>
      <c r="G158" s="592"/>
    </row>
    <row r="159" spans="1:7" ht="13.95" customHeight="1">
      <c r="A159" s="592"/>
      <c r="B159" s="592"/>
      <c r="C159" s="592"/>
      <c r="D159" s="592"/>
      <c r="E159" s="592"/>
      <c r="F159" s="592"/>
      <c r="G159" s="592"/>
    </row>
    <row r="160" spans="1:7" ht="13.95" customHeight="1">
      <c r="A160" s="592"/>
      <c r="B160" s="592"/>
      <c r="C160" s="592"/>
      <c r="D160" s="592"/>
      <c r="E160" s="592"/>
      <c r="F160" s="592"/>
      <c r="G160" s="592"/>
    </row>
    <row r="161" spans="1:7" ht="13.95" customHeight="1">
      <c r="A161" s="592"/>
      <c r="B161" s="592"/>
      <c r="C161" s="592"/>
      <c r="D161" s="592"/>
      <c r="E161" s="592"/>
      <c r="F161" s="592"/>
      <c r="G161" s="592"/>
    </row>
    <row r="162" spans="1:7" ht="13.95" customHeight="1">
      <c r="A162" s="361"/>
      <c r="B162" s="361"/>
      <c r="C162" s="361"/>
      <c r="D162" s="361"/>
      <c r="E162" s="361"/>
      <c r="F162" s="361"/>
      <c r="G162" s="361"/>
    </row>
    <row r="163" spans="1:7" ht="19.95" customHeight="1">
      <c r="A163" s="413" t="s">
        <v>637</v>
      </c>
    </row>
    <row r="164" spans="1:7" ht="19.95" customHeight="1">
      <c r="A164" s="22" t="s">
        <v>164</v>
      </c>
    </row>
    <row r="165" spans="1:7" ht="19.95" customHeight="1">
      <c r="A165" s="22" t="s">
        <v>638</v>
      </c>
    </row>
    <row r="166" spans="1:7" ht="19.95" customHeight="1">
      <c r="A166" s="22" t="s">
        <v>238</v>
      </c>
    </row>
    <row r="167" spans="1:7" ht="19.95" customHeight="1">
      <c r="A167" s="22" t="s">
        <v>639</v>
      </c>
    </row>
    <row r="168" spans="1:7" ht="19.95" customHeight="1">
      <c r="A168" s="22" t="s">
        <v>640</v>
      </c>
    </row>
  </sheetData>
  <sheetProtection selectLockedCells="1" selectUnlockedCells="1"/>
  <mergeCells count="14">
    <mergeCell ref="A44:C44"/>
    <mergeCell ref="A91:I91"/>
    <mergeCell ref="A96:I96"/>
    <mergeCell ref="A97:I97"/>
    <mergeCell ref="A98:I98"/>
    <mergeCell ref="A52:C52"/>
    <mergeCell ref="A152:G161"/>
    <mergeCell ref="B129:I129"/>
    <mergeCell ref="G126:I126"/>
    <mergeCell ref="G127:I127"/>
    <mergeCell ref="G128:I128"/>
    <mergeCell ref="A126:B126"/>
    <mergeCell ref="A127:B127"/>
    <mergeCell ref="A128:B128"/>
  </mergeCells>
  <hyperlinks>
    <hyperlink ref="A46" r:id="rId1" xr:uid="{00000000-0004-0000-0000-000000000000}"/>
    <hyperlink ref="A63" r:id="rId2" xr:uid="{00000000-0004-0000-0000-000001000000}"/>
    <hyperlink ref="A64" r:id="rId3" xr:uid="{00000000-0004-0000-0000-000002000000}"/>
    <hyperlink ref="A65" r:id="rId4" xr:uid="{00000000-0004-0000-0000-000003000000}"/>
    <hyperlink ref="A66" r:id="rId5" xr:uid="{00000000-0004-0000-0000-000004000000}"/>
    <hyperlink ref="A67" r:id="rId6" xr:uid="{00000000-0004-0000-0000-000005000000}"/>
    <hyperlink ref="A68" r:id="rId7" xr:uid="{00000000-0004-0000-0000-000006000000}"/>
    <hyperlink ref="B76" r:id="rId8" xr:uid="{0667BEA2-B50E-43AC-AF4A-8A88A415B780}"/>
    <hyperlink ref="B95" r:id="rId9" xr:uid="{F647D757-6A0B-46D0-A5D4-933445C1C1E2}"/>
    <hyperlink ref="B100" r:id="rId10" xr:uid="{FA8D1986-0B23-4B2F-9E00-B16C7CA6EE99}"/>
    <hyperlink ref="A69" r:id="rId11" xr:uid="{1B395890-031A-4171-B5D2-BCC069DC5D9A}"/>
    <hyperlink ref="B101" r:id="rId12" xr:uid="{D90CC781-5CF5-4D69-B821-A2ECEDB346F0}"/>
    <hyperlink ref="B148" r:id="rId13" xr:uid="{566ED60A-E0D6-4F40-A3D9-092FE1E38000}"/>
    <hyperlink ref="A70" r:id="rId14" xr:uid="{F62A26BA-8FC9-45C0-980C-A6941B70AE53}"/>
    <hyperlink ref="A71" r:id="rId15" xr:uid="{E5CFD6D5-EF8C-47FC-9AB6-A5BF4DCEEB25}"/>
    <hyperlink ref="A72" r:id="rId16" xr:uid="{C4B5ED05-CFF8-4B17-9032-DADF5ADD2270}"/>
    <hyperlink ref="A49" r:id="rId17" xr:uid="{DF615F27-0FAD-4E02-BFE9-722EF06EEA94}"/>
    <hyperlink ref="B88" r:id="rId18" xr:uid="{0CEBD80A-6FAC-4C06-993D-35D099A2A3E2}"/>
    <hyperlink ref="A50" r:id="rId19" display="Lades das Excel-File von dort ab un an herunter und schau nach im Blatt &quot;ChangeLog&quot;, ob du die aktuelle Version hast!" xr:uid="{EA28EFB4-958C-46E3-8749-E8A438F8B092}"/>
  </hyperlinks>
  <pageMargins left="0.78749999999999998" right="0.78749999999999998" top="1.0527777777777778" bottom="1.0527777777777778" header="0.78749999999999998" footer="0.78749999999999998"/>
  <pageSetup paperSize="9" firstPageNumber="0" orientation="portrait" horizontalDpi="300" verticalDpi="300" r:id="rId20"/>
  <headerFooter alignWithMargins="0">
    <oddHeader>&amp;C&amp;"Times New Roman,Regular"&amp;12&amp;A</oddHeader>
    <oddFooter>&amp;C&amp;"Times New Roman,Regular"&amp;12Page &amp;P</oddFooter>
  </headerFooter>
  <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zoomScale="110" zoomScaleNormal="110" workbookViewId="0">
      <pane xSplit="1" topLeftCell="B1" activePane="topRight" state="frozen"/>
      <selection pane="topRight" activeCell="B2" sqref="B2"/>
    </sheetView>
  </sheetViews>
  <sheetFormatPr baseColWidth="10" defaultColWidth="11.5546875" defaultRowHeight="13.8"/>
  <cols>
    <col min="1" max="1" width="46.21875" style="3" customWidth="1"/>
    <col min="2" max="2" width="22.109375" style="3" customWidth="1"/>
    <col min="3" max="3" width="13.44140625" style="3" customWidth="1"/>
    <col min="4" max="4" width="6.88671875" style="3" customWidth="1"/>
    <col min="5" max="7" width="11.5546875" style="3"/>
    <col min="8" max="8" width="11.5546875" style="7"/>
    <col min="9" max="9" width="17" style="7" customWidth="1"/>
    <col min="10" max="10" width="7.88671875" style="7" customWidth="1"/>
    <col min="11" max="11" width="12.33203125" style="7" customWidth="1"/>
    <col min="12" max="12" width="19.21875" style="7" customWidth="1"/>
    <col min="13" max="13" width="13.6640625" style="7" customWidth="1"/>
    <col min="14" max="14" width="13.109375" style="7" customWidth="1"/>
    <col min="15" max="15" width="10.21875" style="7" customWidth="1"/>
    <col min="16" max="16" width="10.109375" style="7" customWidth="1"/>
    <col min="17" max="17" width="20.6640625" style="7" customWidth="1"/>
    <col min="18" max="18" width="7.5546875" style="7" customWidth="1"/>
    <col min="19" max="19" width="8.44140625" style="7" customWidth="1"/>
    <col min="20" max="16384" width="11.5546875" style="7"/>
  </cols>
  <sheetData>
    <row r="1" spans="1:16" ht="15" thickBot="1">
      <c r="A1" s="60" t="s">
        <v>0</v>
      </c>
      <c r="B1" s="59" t="s">
        <v>1</v>
      </c>
      <c r="C1" s="19"/>
      <c r="D1" s="4"/>
      <c r="F1" s="622" t="s">
        <v>172</v>
      </c>
      <c r="G1" s="623"/>
      <c r="H1" s="623"/>
      <c r="I1" s="624"/>
      <c r="M1" s="9" t="s">
        <v>117</v>
      </c>
      <c r="N1" s="10"/>
    </row>
    <row r="2" spans="1:16" ht="14.4">
      <c r="A2" s="6" t="s">
        <v>148</v>
      </c>
      <c r="B2" s="334" t="s">
        <v>433</v>
      </c>
      <c r="C2" s="335">
        <f>Hinweise!I1</f>
        <v>46002</v>
      </c>
      <c r="F2" s="77" t="s">
        <v>138</v>
      </c>
      <c r="G2" s="625" t="s">
        <v>716</v>
      </c>
      <c r="H2" s="625"/>
      <c r="I2" s="626"/>
      <c r="M2" s="11" t="s">
        <v>118</v>
      </c>
      <c r="N2" s="12">
        <v>0.05</v>
      </c>
      <c r="O2"/>
      <c r="P2"/>
    </row>
    <row r="3" spans="1:16" ht="15" thickBot="1">
      <c r="A3" s="26" t="s">
        <v>11</v>
      </c>
      <c r="B3" s="27">
        <v>46023</v>
      </c>
      <c r="C3" s="22" t="s">
        <v>647</v>
      </c>
      <c r="E3" s="22">
        <v>0</v>
      </c>
      <c r="F3" s="71" t="s">
        <v>215</v>
      </c>
      <c r="G3" s="79">
        <f>B7</f>
        <v>144</v>
      </c>
      <c r="H3" s="78" t="s">
        <v>168</v>
      </c>
      <c r="I3" s="80">
        <v>500</v>
      </c>
      <c r="M3" s="13" t="s">
        <v>119</v>
      </c>
      <c r="N3" s="14">
        <v>3.5000000000000003E-2</v>
      </c>
      <c r="O3"/>
      <c r="P3"/>
    </row>
    <row r="4" spans="1:16" ht="14.4">
      <c r="A4" s="28" t="s">
        <v>13</v>
      </c>
      <c r="B4" s="29">
        <f>Grundstück+Gebäude</f>
        <v>1000000</v>
      </c>
      <c r="C4" s="22" t="str">
        <f>IF(C5+C6&lt;&gt;1," Check Anteile!","")</f>
        <v/>
      </c>
      <c r="M4" s="13" t="s">
        <v>120</v>
      </c>
      <c r="N4" s="14">
        <v>0.06</v>
      </c>
      <c r="O4"/>
      <c r="P4"/>
    </row>
    <row r="5" spans="1:16" ht="14.4">
      <c r="A5" s="26" t="s">
        <v>14</v>
      </c>
      <c r="B5" s="30">
        <v>200000</v>
      </c>
      <c r="C5" s="34">
        <f>Grundstück/B4</f>
        <v>0.2</v>
      </c>
      <c r="D5" s="3" t="s">
        <v>152</v>
      </c>
      <c r="E5" s="5"/>
      <c r="H5" s="93">
        <f>Grundstück/I3</f>
        <v>400</v>
      </c>
      <c r="I5" s="94" t="s">
        <v>173</v>
      </c>
      <c r="J5" s="97" t="s">
        <v>212</v>
      </c>
      <c r="M5" s="13" t="s">
        <v>121</v>
      </c>
      <c r="N5" s="14">
        <v>6.5000000000000002E-2</v>
      </c>
      <c r="O5"/>
      <c r="P5"/>
    </row>
    <row r="6" spans="1:16" ht="14.4">
      <c r="A6" s="26" t="s">
        <v>15</v>
      </c>
      <c r="B6" s="30">
        <v>800000</v>
      </c>
      <c r="C6" s="34">
        <f>Gebäude/B4</f>
        <v>0.8</v>
      </c>
      <c r="D6" s="3" t="s">
        <v>375</v>
      </c>
      <c r="M6" s="13" t="s">
        <v>122</v>
      </c>
      <c r="N6" s="14">
        <v>0.05</v>
      </c>
      <c r="O6" s="325"/>
      <c r="P6" s="325"/>
    </row>
    <row r="7" spans="1:16" ht="14.4">
      <c r="A7" s="26" t="s">
        <v>218</v>
      </c>
      <c r="B7" s="58">
        <v>144</v>
      </c>
      <c r="C7" s="35">
        <f>B4/B7</f>
        <v>6944.4444444444443</v>
      </c>
      <c r="D7" s="3" t="s">
        <v>219</v>
      </c>
      <c r="M7" s="13" t="s">
        <v>123</v>
      </c>
      <c r="N7" s="14">
        <v>4.4999999999999998E-2</v>
      </c>
      <c r="O7" s="325"/>
      <c r="P7" s="325"/>
    </row>
    <row r="8" spans="1:16" ht="14.4">
      <c r="A8" s="26" t="s">
        <v>16</v>
      </c>
      <c r="B8" s="31">
        <f>(Gebäude+Grundstück)*C8</f>
        <v>50000</v>
      </c>
      <c r="C8" s="36">
        <v>0.05</v>
      </c>
      <c r="D8" s="3" t="s">
        <v>17</v>
      </c>
      <c r="M8" s="13" t="s">
        <v>124</v>
      </c>
      <c r="N8" s="14">
        <v>0.06</v>
      </c>
      <c r="O8" s="325"/>
      <c r="P8" s="325"/>
    </row>
    <row r="9" spans="1:16" ht="14.4">
      <c r="A9" s="26" t="s">
        <v>18</v>
      </c>
      <c r="B9" s="31">
        <f>(Gebäude+Grundstück)*C9</f>
        <v>35699.999999999993</v>
      </c>
      <c r="C9" s="36">
        <f>1.19*3%</f>
        <v>3.5699999999999996E-2</v>
      </c>
      <c r="D9" s="3" t="s">
        <v>188</v>
      </c>
      <c r="M9" s="13" t="s">
        <v>125</v>
      </c>
      <c r="N9" s="14">
        <v>0.05</v>
      </c>
      <c r="O9" s="325"/>
      <c r="P9" s="325"/>
    </row>
    <row r="10" spans="1:16" ht="14.4">
      <c r="A10" s="26" t="s">
        <v>116</v>
      </c>
      <c r="B10" s="31">
        <f>(Gebäude+Grundstück)*C10</f>
        <v>5000</v>
      </c>
      <c r="C10" s="37">
        <v>5.0000000000000001E-3</v>
      </c>
      <c r="D10" s="3" t="s">
        <v>213</v>
      </c>
      <c r="F10" s="8"/>
      <c r="M10" s="13" t="s">
        <v>126</v>
      </c>
      <c r="N10" s="14">
        <v>0.05</v>
      </c>
      <c r="O10" s="325"/>
      <c r="P10" s="325"/>
    </row>
    <row r="11" spans="1:16" ht="14.4">
      <c r="A11" s="26" t="s">
        <v>19</v>
      </c>
      <c r="B11" s="31">
        <f>(Gebäude+Grundstück)*C11</f>
        <v>15000</v>
      </c>
      <c r="C11" s="36">
        <v>1.4999999999999999E-2</v>
      </c>
      <c r="D11" s="3" t="s">
        <v>178</v>
      </c>
      <c r="M11" s="13" t="s">
        <v>127</v>
      </c>
      <c r="N11" s="14">
        <v>6.5000000000000002E-2</v>
      </c>
      <c r="O11" s="325"/>
      <c r="P11" s="325"/>
    </row>
    <row r="12" spans="1:16" ht="14.4">
      <c r="A12" s="323" t="s">
        <v>407</v>
      </c>
      <c r="B12" s="324">
        <v>0</v>
      </c>
      <c r="M12" s="13" t="s">
        <v>128</v>
      </c>
      <c r="N12" s="14">
        <v>0.05</v>
      </c>
      <c r="P12"/>
    </row>
    <row r="13" spans="1:16" ht="14.4">
      <c r="A13" s="32" t="s">
        <v>503</v>
      </c>
      <c r="B13" s="29">
        <f>SUM(B8:B12)</f>
        <v>105700</v>
      </c>
      <c r="C13" s="38">
        <f>SUM(C8:C11)</f>
        <v>0.1057</v>
      </c>
      <c r="M13" s="13" t="s">
        <v>129</v>
      </c>
      <c r="N13" s="14">
        <v>6.5000000000000002E-2</v>
      </c>
      <c r="O13"/>
      <c r="P13"/>
    </row>
    <row r="14" spans="1:16" ht="14.4">
      <c r="A14" s="26" t="s">
        <v>233</v>
      </c>
      <c r="B14" s="30">
        <v>40000</v>
      </c>
      <c r="C14" s="3" t="s">
        <v>232</v>
      </c>
      <c r="M14" s="13" t="s">
        <v>130</v>
      </c>
      <c r="N14" s="14">
        <v>3.5000000000000003E-2</v>
      </c>
      <c r="O14"/>
      <c r="P14"/>
    </row>
    <row r="15" spans="1:16" ht="14.4">
      <c r="A15" s="26" t="s">
        <v>229</v>
      </c>
      <c r="B15" s="30">
        <v>2500</v>
      </c>
      <c r="C15" s="3" t="s">
        <v>386</v>
      </c>
      <c r="M15" s="13" t="s">
        <v>131</v>
      </c>
      <c r="N15" s="14">
        <v>0.05</v>
      </c>
      <c r="O15"/>
      <c r="P15"/>
    </row>
    <row r="16" spans="1:16" ht="14.4">
      <c r="A16" s="28" t="s">
        <v>20</v>
      </c>
      <c r="B16" s="33">
        <f>Instanhaltungskosten_am_Anfang+FittingUp+B4+B13</f>
        <v>1148200</v>
      </c>
      <c r="C16" s="3" t="s">
        <v>175</v>
      </c>
      <c r="M16" s="13" t="s">
        <v>132</v>
      </c>
      <c r="N16" s="14">
        <v>6.5000000000000002E-2</v>
      </c>
      <c r="O16"/>
      <c r="P16"/>
    </row>
    <row r="17" spans="1:20" ht="15" thickBot="1">
      <c r="A17" s="6"/>
      <c r="M17" s="15" t="s">
        <v>133</v>
      </c>
      <c r="N17" s="16">
        <v>6.5000000000000002E-2</v>
      </c>
      <c r="O17"/>
      <c r="P17"/>
    </row>
    <row r="18" spans="1:20">
      <c r="A18" s="28" t="s">
        <v>355</v>
      </c>
      <c r="B18" s="95">
        <v>50</v>
      </c>
      <c r="C18" s="3" t="s">
        <v>140</v>
      </c>
      <c r="D18" s="330" t="s">
        <v>426</v>
      </c>
      <c r="N18"/>
      <c r="O18"/>
      <c r="P18"/>
    </row>
    <row r="19" spans="1:20" ht="14.4">
      <c r="A19" s="351" t="s">
        <v>427</v>
      </c>
      <c r="B19" s="350" t="s">
        <v>452</v>
      </c>
      <c r="C19" s="352" t="s">
        <v>603</v>
      </c>
      <c r="D19" s="331"/>
      <c r="E19" s="331"/>
      <c r="H19" s="332"/>
      <c r="L19" s="17"/>
      <c r="M19" s="17"/>
      <c r="N19"/>
      <c r="O19"/>
      <c r="P19"/>
    </row>
    <row r="20" spans="1:20" ht="14.4">
      <c r="A20" s="26" t="s">
        <v>348</v>
      </c>
      <c r="B20" s="30">
        <f>Gebäude+FittingUp+B13*C6</f>
        <v>924560</v>
      </c>
      <c r="C20" s="6" t="s">
        <v>349</v>
      </c>
      <c r="L20" s="17"/>
      <c r="M20"/>
      <c r="N20"/>
      <c r="O20"/>
      <c r="P20"/>
    </row>
    <row r="21" spans="1:20" ht="14.4">
      <c r="A21" s="26"/>
      <c r="B21" s="26"/>
      <c r="C21" s="6"/>
      <c r="L21" s="17"/>
      <c r="M21"/>
      <c r="N21"/>
      <c r="O21"/>
      <c r="P21"/>
    </row>
    <row r="22" spans="1:20" ht="14.4">
      <c r="A22" s="28" t="s">
        <v>502</v>
      </c>
      <c r="B22" s="6"/>
      <c r="C22" s="6"/>
      <c r="L22" s="17"/>
      <c r="M22"/>
      <c r="N22"/>
      <c r="O22"/>
      <c r="P22"/>
    </row>
    <row r="23" spans="1:20" ht="14.4" thickBot="1">
      <c r="A23" s="26" t="s">
        <v>26</v>
      </c>
      <c r="B23" s="37">
        <v>0.01</v>
      </c>
      <c r="C23" s="3" t="s">
        <v>199</v>
      </c>
      <c r="O23"/>
      <c r="P23"/>
    </row>
    <row r="24" spans="1:20">
      <c r="A24" s="26" t="s">
        <v>372</v>
      </c>
      <c r="B24" s="37">
        <v>0.01</v>
      </c>
      <c r="C24" s="3" t="s">
        <v>197</v>
      </c>
      <c r="L24" s="98" t="s">
        <v>265</v>
      </c>
      <c r="M24" s="98" t="s">
        <v>186</v>
      </c>
      <c r="N24" s="99" t="s">
        <v>377</v>
      </c>
      <c r="O24"/>
      <c r="P24"/>
      <c r="T24"/>
    </row>
    <row r="25" spans="1:20">
      <c r="A25" s="26" t="s">
        <v>198</v>
      </c>
      <c r="B25" s="37">
        <v>1.4999999999999999E-2</v>
      </c>
      <c r="C25" s="3" t="s">
        <v>197</v>
      </c>
      <c r="L25" s="100" t="s">
        <v>183</v>
      </c>
      <c r="M25" s="108">
        <v>4.3749999999999983E-2</v>
      </c>
      <c r="N25" s="101" t="s">
        <v>187</v>
      </c>
      <c r="O25"/>
      <c r="P25"/>
    </row>
    <row r="26" spans="1:20">
      <c r="L26" s="100"/>
      <c r="M26" s="108"/>
      <c r="N26" s="101"/>
      <c r="O26"/>
      <c r="P26"/>
    </row>
    <row r="27" spans="1:20">
      <c r="A27" s="4" t="s">
        <v>484</v>
      </c>
      <c r="B27" s="4"/>
      <c r="C27" s="4"/>
      <c r="D27" s="4"/>
      <c r="E27" s="4"/>
      <c r="F27" s="4"/>
      <c r="G27" s="4"/>
      <c r="L27" s="100" t="s">
        <v>184</v>
      </c>
      <c r="M27" s="109">
        <v>3.5699999999999996E-2</v>
      </c>
      <c r="N27" s="101"/>
      <c r="O27"/>
      <c r="P27"/>
    </row>
    <row r="28" spans="1:20">
      <c r="L28" s="100" t="s">
        <v>119</v>
      </c>
      <c r="M28" s="109">
        <v>3.5699999999999996E-2</v>
      </c>
      <c r="N28" s="101"/>
    </row>
    <row r="29" spans="1:20" ht="18.600000000000001" customHeight="1">
      <c r="A29" s="18" t="s">
        <v>236</v>
      </c>
      <c r="C29" s="3" t="s">
        <v>246</v>
      </c>
      <c r="L29" s="100" t="s">
        <v>121</v>
      </c>
      <c r="M29" s="109">
        <v>7.1399999999999991E-2</v>
      </c>
      <c r="N29" s="101"/>
      <c r="O29" s="616" t="s">
        <v>164</v>
      </c>
      <c r="P29" s="617"/>
      <c r="Q29" s="617"/>
      <c r="R29" s="325"/>
    </row>
    <row r="30" spans="1:20">
      <c r="A30" s="26" t="s">
        <v>235</v>
      </c>
      <c r="B30" s="115">
        <v>480</v>
      </c>
      <c r="C30" s="18" t="s">
        <v>234</v>
      </c>
      <c r="L30" s="100" t="s">
        <v>124</v>
      </c>
      <c r="M30" s="109">
        <v>5.9500000000000004E-2</v>
      </c>
      <c r="N30" s="101"/>
      <c r="O30" s="616"/>
      <c r="P30" s="617"/>
      <c r="Q30" s="617"/>
      <c r="R30" s="325"/>
    </row>
    <row r="31" spans="1:20">
      <c r="A31" s="26" t="s">
        <v>231</v>
      </c>
      <c r="B31" s="40">
        <f>B7*C31</f>
        <v>864</v>
      </c>
      <c r="C31" s="49">
        <v>6</v>
      </c>
      <c r="D31" s="18" t="s">
        <v>379</v>
      </c>
      <c r="L31" s="100" t="s">
        <v>125</v>
      </c>
      <c r="M31" s="109">
        <v>3.5699999999999996E-2</v>
      </c>
      <c r="N31" s="101"/>
      <c r="O31" s="616"/>
      <c r="P31" s="617"/>
      <c r="Q31" s="617"/>
      <c r="R31" s="325"/>
    </row>
    <row r="32" spans="1:20">
      <c r="A32" s="26" t="s">
        <v>230</v>
      </c>
      <c r="B32" s="40">
        <f>B7*C32</f>
        <v>720</v>
      </c>
      <c r="C32" s="49">
        <v>5</v>
      </c>
      <c r="D32" s="18" t="s">
        <v>379</v>
      </c>
      <c r="L32" s="100" t="s">
        <v>126</v>
      </c>
      <c r="M32" s="109">
        <v>0.05</v>
      </c>
      <c r="N32" s="101" t="s">
        <v>185</v>
      </c>
      <c r="O32" s="616"/>
      <c r="P32" s="617"/>
      <c r="Q32" s="617"/>
      <c r="R32" s="325"/>
    </row>
    <row r="33" spans="1:18" ht="27.6">
      <c r="A33" s="41" t="s">
        <v>220</v>
      </c>
      <c r="B33" s="40">
        <f>SUM(B30:B32)</f>
        <v>2064</v>
      </c>
      <c r="C33" s="114">
        <f>Unterhaltskosten_p.a./B7</f>
        <v>14.333333333333334</v>
      </c>
      <c r="D33" s="18" t="s">
        <v>378</v>
      </c>
      <c r="L33" s="100" t="s">
        <v>127</v>
      </c>
      <c r="M33" s="109">
        <v>3.5699999999999996E-2</v>
      </c>
      <c r="N33" s="101"/>
      <c r="O33" s="616"/>
      <c r="P33" s="617"/>
      <c r="Q33" s="617"/>
      <c r="R33" s="325"/>
    </row>
    <row r="34" spans="1:18">
      <c r="A34" s="26" t="s">
        <v>153</v>
      </c>
      <c r="B34" s="37">
        <v>1.2500000000000001E-2</v>
      </c>
      <c r="C34" s="18" t="s">
        <v>176</v>
      </c>
      <c r="L34" s="100" t="s">
        <v>128</v>
      </c>
      <c r="M34" s="109">
        <v>3.5699999999999996E-2</v>
      </c>
      <c r="N34" s="101"/>
      <c r="O34" s="616"/>
      <c r="P34" s="617"/>
      <c r="Q34" s="617"/>
      <c r="R34" s="325"/>
    </row>
    <row r="35" spans="1:18">
      <c r="L35" s="100" t="s">
        <v>129</v>
      </c>
      <c r="M35" s="109">
        <v>3.5699999999999996E-2</v>
      </c>
      <c r="N35" s="101"/>
      <c r="P35" s="271" t="s">
        <v>263</v>
      </c>
    </row>
    <row r="36" spans="1:18">
      <c r="B36" s="21"/>
      <c r="L36" s="100" t="s">
        <v>131</v>
      </c>
      <c r="M36" s="109">
        <v>3.5699999999999996E-2</v>
      </c>
      <c r="N36" s="101"/>
      <c r="P36" s="7" t="s">
        <v>264</v>
      </c>
    </row>
    <row r="37" spans="1:18">
      <c r="A37" s="26" t="s">
        <v>21</v>
      </c>
      <c r="B37" s="30">
        <v>4000</v>
      </c>
      <c r="C37" s="50">
        <f>B37/B7</f>
        <v>27.777777777777779</v>
      </c>
      <c r="D37" s="3" t="s">
        <v>726</v>
      </c>
      <c r="L37" s="100" t="s">
        <v>130</v>
      </c>
      <c r="M37" s="109">
        <v>3.5699999999999996E-2</v>
      </c>
      <c r="N37" s="101"/>
    </row>
    <row r="38" spans="1:18">
      <c r="A38" s="28" t="s">
        <v>22</v>
      </c>
      <c r="B38" s="29">
        <f>B37*12</f>
        <v>48000</v>
      </c>
      <c r="C38" s="569">
        <f>B38/B16</f>
        <v>4.1804563664866748E-2</v>
      </c>
      <c r="D38" s="3" t="s">
        <v>774</v>
      </c>
      <c r="L38" s="100" t="s">
        <v>132</v>
      </c>
      <c r="M38" s="109">
        <v>3.5699999999999996E-2</v>
      </c>
      <c r="N38" s="101"/>
    </row>
    <row r="39" spans="1:18">
      <c r="A39" s="26" t="s">
        <v>137</v>
      </c>
      <c r="B39" s="37">
        <v>0.02</v>
      </c>
      <c r="C39" s="26" t="s">
        <v>149</v>
      </c>
      <c r="D39" s="3" t="s">
        <v>134</v>
      </c>
      <c r="L39" s="100" t="s">
        <v>133</v>
      </c>
      <c r="M39" s="109">
        <v>3.5699999999999996E-2</v>
      </c>
      <c r="N39" s="101"/>
    </row>
    <row r="40" spans="1:18">
      <c r="A40" s="32" t="s">
        <v>136</v>
      </c>
      <c r="B40" s="29">
        <f>B38*(1-B39)</f>
        <v>47040</v>
      </c>
      <c r="C40" s="3" t="s">
        <v>169</v>
      </c>
      <c r="L40" s="100" t="s">
        <v>120</v>
      </c>
      <c r="M40" s="109">
        <v>7.1399999999999991E-2</v>
      </c>
      <c r="N40" s="101"/>
    </row>
    <row r="41" spans="1:18">
      <c r="A41" s="26" t="s">
        <v>226</v>
      </c>
      <c r="B41" s="38">
        <f>B40/B16</f>
        <v>4.0968472391569415E-2</v>
      </c>
      <c r="C41" s="3" t="s">
        <v>227</v>
      </c>
      <c r="L41" s="100" t="s">
        <v>122</v>
      </c>
      <c r="M41" s="109">
        <v>5.9500000000000004E-2</v>
      </c>
      <c r="N41" s="101"/>
    </row>
    <row r="42" spans="1:18" ht="15" customHeight="1" thickBot="1">
      <c r="A42" s="26" t="s">
        <v>228</v>
      </c>
      <c r="B42" s="113">
        <f>B16/B40</f>
        <v>24.409013605442176</v>
      </c>
      <c r="C42" s="3" t="str">
        <f>" Investitionsvolumen entspricht dem "&amp;ROUND(B42,1)&amp;" fachen einer nachh. Jahresmiete"</f>
        <v xml:space="preserve"> Investitionsvolumen entspricht dem 24,4 fachen einer nachh. Jahresmiete</v>
      </c>
      <c r="L42" s="102" t="s">
        <v>123</v>
      </c>
      <c r="M42" s="110">
        <v>3.1200000000000002E-2</v>
      </c>
      <c r="N42" s="103"/>
    </row>
    <row r="43" spans="1:18">
      <c r="A43" s="26" t="s">
        <v>23</v>
      </c>
      <c r="B43" s="27">
        <f>B3</f>
        <v>46023</v>
      </c>
      <c r="C43" s="20" t="s">
        <v>12</v>
      </c>
      <c r="D43" s="22">
        <v>1</v>
      </c>
    </row>
    <row r="44" spans="1:18" ht="15.6" customHeight="1">
      <c r="A44" s="26" t="s">
        <v>24</v>
      </c>
      <c r="B44" s="37">
        <v>1.2500000000000001E-2</v>
      </c>
      <c r="C44" s="18" t="s">
        <v>214</v>
      </c>
    </row>
    <row r="46" spans="1:18" ht="25.2" customHeight="1">
      <c r="B46" s="23"/>
    </row>
    <row r="47" spans="1:18" ht="49.8" customHeight="1">
      <c r="A47" s="81" t="s">
        <v>27</v>
      </c>
      <c r="B47" s="82">
        <v>0.42</v>
      </c>
      <c r="C47" s="618" t="s">
        <v>490</v>
      </c>
      <c r="D47" s="619"/>
      <c r="E47" s="619"/>
      <c r="F47" s="619"/>
      <c r="G47" s="619"/>
      <c r="H47" s="619"/>
      <c r="I47" s="619"/>
    </row>
    <row r="48" spans="1:18">
      <c r="C48" s="3" t="s">
        <v>35</v>
      </c>
    </row>
    <row r="49" spans="1:16">
      <c r="A49" s="7"/>
      <c r="B49" s="7"/>
      <c r="C49" s="7"/>
    </row>
    <row r="50" spans="1:16" ht="18" customHeight="1">
      <c r="A50" s="620" t="s">
        <v>563</v>
      </c>
      <c r="B50" s="621"/>
      <c r="F50" s="447" t="s">
        <v>604</v>
      </c>
    </row>
    <row r="51" spans="1:16" ht="18" customHeight="1">
      <c r="A51" s="32" t="s">
        <v>28</v>
      </c>
      <c r="B51" s="270">
        <v>100000</v>
      </c>
      <c r="F51" s="447" t="s">
        <v>605</v>
      </c>
    </row>
    <row r="52" spans="1:16" ht="13.8" customHeight="1" thickBot="1">
      <c r="A52" s="26" t="s">
        <v>29</v>
      </c>
      <c r="B52" s="30">
        <f>B16</f>
        <v>1148200</v>
      </c>
      <c r="K52" s="3"/>
    </row>
    <row r="53" spans="1:16" ht="25.8" customHeight="1">
      <c r="A53" s="43" t="s">
        <v>30</v>
      </c>
      <c r="B53" s="270">
        <f>B52-B51</f>
        <v>1048200</v>
      </c>
      <c r="C53" s="630" t="s">
        <v>550</v>
      </c>
      <c r="D53" s="631"/>
      <c r="E53" s="631"/>
      <c r="F53" s="627" t="s">
        <v>545</v>
      </c>
      <c r="G53" s="628"/>
      <c r="H53" s="628"/>
      <c r="I53" s="629"/>
      <c r="K53" s="448" t="s">
        <v>658</v>
      </c>
      <c r="L53" s="449"/>
      <c r="M53" s="449"/>
      <c r="N53" s="449"/>
      <c r="O53" s="449"/>
      <c r="P53" s="450"/>
    </row>
    <row r="54" spans="1:16" ht="16.2">
      <c r="A54" s="43" t="s">
        <v>31</v>
      </c>
      <c r="B54" s="486">
        <v>25</v>
      </c>
      <c r="C54" s="6" t="s">
        <v>140</v>
      </c>
      <c r="D54" s="396" t="str">
        <f>IF(Lebensdauer&lt;FinZeitraum,"ACHTUNG: Finanzierungszeitraum sollte die Restnutzungsdauer nicht übersteigen!","")</f>
        <v/>
      </c>
      <c r="F54" s="634" t="s">
        <v>564</v>
      </c>
      <c r="G54" s="635"/>
      <c r="H54" s="635"/>
      <c r="I54" s="636"/>
      <c r="K54" s="451" t="s">
        <v>659</v>
      </c>
      <c r="L54" s="452"/>
      <c r="M54" s="452"/>
      <c r="N54" s="452"/>
      <c r="O54" s="452"/>
      <c r="P54" s="453"/>
    </row>
    <row r="55" spans="1:16" ht="16.2">
      <c r="A55" s="3" t="s">
        <v>519</v>
      </c>
      <c r="B55" s="488">
        <f>'Cash &amp; Assets'!T8</f>
        <v>3.3461892887541839E-2</v>
      </c>
      <c r="F55" s="433" t="s">
        <v>551</v>
      </c>
      <c r="G55" s="417"/>
      <c r="H55" s="418"/>
      <c r="I55" s="557" t="s">
        <v>657</v>
      </c>
      <c r="K55" s="451" t="s">
        <v>660</v>
      </c>
      <c r="L55" s="452"/>
      <c r="M55" s="452"/>
      <c r="N55" s="452"/>
      <c r="O55" s="452"/>
      <c r="P55" s="453"/>
    </row>
    <row r="56" spans="1:16" ht="27.6" customHeight="1">
      <c r="A56" s="43" t="s">
        <v>32</v>
      </c>
      <c r="B56" s="487" t="s">
        <v>150</v>
      </c>
      <c r="F56" s="433" t="s">
        <v>547</v>
      </c>
      <c r="G56" s="417"/>
      <c r="H56" s="418"/>
      <c r="I56" s="558">
        <v>0</v>
      </c>
      <c r="K56" s="637" t="s">
        <v>661</v>
      </c>
      <c r="L56" s="638"/>
      <c r="M56" s="638"/>
      <c r="N56" s="638"/>
      <c r="O56" s="638"/>
      <c r="P56" s="639"/>
    </row>
    <row r="57" spans="1:16" ht="13.8" customHeight="1">
      <c r="A57" s="26" t="s">
        <v>142</v>
      </c>
      <c r="B57" s="326">
        <v>10</v>
      </c>
      <c r="F57" s="434" t="s">
        <v>656</v>
      </c>
      <c r="G57" s="415"/>
      <c r="H57" s="416"/>
      <c r="I57" s="559">
        <v>8</v>
      </c>
      <c r="J57" s="3"/>
      <c r="K57" s="452" t="s">
        <v>614</v>
      </c>
      <c r="L57" s="452"/>
      <c r="M57" s="452"/>
      <c r="N57" s="452"/>
    </row>
    <row r="58" spans="1:16">
      <c r="A58" s="26" t="s">
        <v>151</v>
      </c>
      <c r="B58" s="26">
        <f>YEAR(Startjahr)+I57</f>
        <v>2034</v>
      </c>
      <c r="D58" s="494" t="s">
        <v>613</v>
      </c>
      <c r="F58" s="435" t="s">
        <v>552</v>
      </c>
      <c r="G58" s="415"/>
      <c r="H58" s="416"/>
      <c r="I58" s="436">
        <f>IFERROR(YEAR(Startjahr)+Förderzeit,"")</f>
        <v>2034</v>
      </c>
      <c r="K58" s="452" t="s">
        <v>611</v>
      </c>
      <c r="L58" s="452"/>
      <c r="M58" s="452"/>
      <c r="N58" s="452"/>
    </row>
    <row r="59" spans="1:16" ht="27.6" customHeight="1">
      <c r="A59" s="32" t="s">
        <v>600</v>
      </c>
      <c r="B59" s="426">
        <f>Finanzbedarf-Förderkredit</f>
        <v>998200</v>
      </c>
      <c r="C59" s="632" t="s">
        <v>601</v>
      </c>
      <c r="D59" s="633"/>
      <c r="E59" s="633"/>
      <c r="F59" s="492" t="s">
        <v>546</v>
      </c>
      <c r="G59" s="493"/>
      <c r="H59" s="491"/>
      <c r="I59" s="560">
        <v>50000</v>
      </c>
      <c r="K59" s="463" t="s">
        <v>606</v>
      </c>
      <c r="L59" s="464"/>
      <c r="M59" s="464"/>
      <c r="N59" s="464"/>
      <c r="O59" s="464"/>
    </row>
    <row r="60" spans="1:16" ht="16.2">
      <c r="A60" s="26" t="s">
        <v>33</v>
      </c>
      <c r="B60" s="44">
        <f>1-B61</f>
        <v>1</v>
      </c>
      <c r="F60" s="437" t="s">
        <v>33</v>
      </c>
      <c r="G60" s="419"/>
      <c r="H60" s="416"/>
      <c r="I60" s="438">
        <v>1</v>
      </c>
      <c r="K60" s="463" t="s">
        <v>607</v>
      </c>
      <c r="L60" s="464"/>
      <c r="M60" s="464"/>
      <c r="N60" s="464"/>
      <c r="O60" s="464"/>
    </row>
    <row r="61" spans="1:16">
      <c r="A61" s="26" t="s">
        <v>34</v>
      </c>
      <c r="B61" s="37">
        <v>0</v>
      </c>
      <c r="F61" s="439" t="s">
        <v>565</v>
      </c>
      <c r="G61" s="422"/>
      <c r="H61" s="418"/>
      <c r="I61" s="556">
        <v>1500</v>
      </c>
      <c r="K61" s="7" t="s">
        <v>710</v>
      </c>
    </row>
    <row r="62" spans="1:16">
      <c r="A62" s="26" t="s">
        <v>36</v>
      </c>
      <c r="B62" s="42">
        <f>AuszahungKredit1-Kreditbedarf</f>
        <v>0</v>
      </c>
      <c r="F62" s="439" t="s">
        <v>602</v>
      </c>
      <c r="G62" s="422"/>
      <c r="H62" s="418"/>
      <c r="I62" s="561">
        <v>5</v>
      </c>
      <c r="J62" s="3"/>
      <c r="K62" s="7" t="s">
        <v>711</v>
      </c>
    </row>
    <row r="63" spans="1:16">
      <c r="A63" s="26" t="s">
        <v>37</v>
      </c>
      <c r="B63" s="39">
        <f>B59/B60</f>
        <v>998200</v>
      </c>
      <c r="F63" s="439" t="s">
        <v>566</v>
      </c>
      <c r="G63" s="422"/>
      <c r="H63" s="418"/>
      <c r="I63" s="440">
        <f>IF(AND(ISNUMBER(Tilgungszuschuss),ISNUMBER(Anzahl_Tilgungszuschüsse)),I62*I61,0)</f>
        <v>7500</v>
      </c>
      <c r="K63" s="3"/>
    </row>
    <row r="64" spans="1:16">
      <c r="A64" s="26" t="s">
        <v>38</v>
      </c>
      <c r="B64" s="45">
        <v>2.8500000000000001E-2</v>
      </c>
      <c r="F64" s="439" t="s">
        <v>38</v>
      </c>
      <c r="G64" s="422"/>
      <c r="H64" s="418"/>
      <c r="I64" s="562">
        <v>2.8500000000000001E-2</v>
      </c>
      <c r="K64" s="7" t="s">
        <v>654</v>
      </c>
    </row>
    <row r="65" spans="1:17">
      <c r="A65" s="26" t="s">
        <v>154</v>
      </c>
      <c r="B65" s="44">
        <f>EFFECT(Kreditzins1,12)</f>
        <v>2.8875244285817558E-2</v>
      </c>
      <c r="C65" s="3" t="s">
        <v>40</v>
      </c>
      <c r="E65" s="24"/>
      <c r="F65" s="441" t="s">
        <v>154</v>
      </c>
      <c r="G65" s="420"/>
      <c r="H65" s="421"/>
      <c r="I65" s="438">
        <f>EFFECT(Förderzins,12)</f>
        <v>2.8875244285817558E-2</v>
      </c>
      <c r="K65" s="3" t="s">
        <v>40</v>
      </c>
    </row>
    <row r="66" spans="1:17">
      <c r="A66" s="26" t="s">
        <v>145</v>
      </c>
      <c r="B66" s="46">
        <f>-PMT(Kreditzins1,FinZeitraum,AuszahungKredit1,0,0)</f>
        <v>56370.63685151816</v>
      </c>
      <c r="F66" s="435" t="s">
        <v>548</v>
      </c>
      <c r="G66" s="26"/>
      <c r="H66" s="416"/>
      <c r="I66" s="446">
        <f>IF(ISNUMBER(Förderzeit),-PMT(Förderzins,Förderzeit,Förderkredit,0,0),0)</f>
        <v>7077.8192732031939</v>
      </c>
      <c r="J66" s="344"/>
      <c r="K66" s="7" t="s">
        <v>775</v>
      </c>
    </row>
    <row r="67" spans="1:17" ht="14.4" thickBot="1">
      <c r="A67" s="26" t="s">
        <v>146</v>
      </c>
      <c r="B67" s="39">
        <f>B66/12</f>
        <v>4697.553070959847</v>
      </c>
      <c r="F67" s="442" t="s">
        <v>549</v>
      </c>
      <c r="G67" s="443"/>
      <c r="H67" s="444"/>
      <c r="I67" s="445">
        <f>I66/12</f>
        <v>589.81827276693286</v>
      </c>
      <c r="K67" s="3"/>
    </row>
    <row r="68" spans="1:17">
      <c r="B68" s="24"/>
      <c r="F68" s="7"/>
      <c r="G68" s="7"/>
      <c r="K68" s="3"/>
    </row>
    <row r="69" spans="1:17">
      <c r="A69" s="47" t="s">
        <v>41</v>
      </c>
      <c r="B69" s="48" t="s">
        <v>147</v>
      </c>
      <c r="C69" s="20" t="s">
        <v>346</v>
      </c>
      <c r="D69" s="3">
        <f>LaufzeitKredit1+1</f>
        <v>11</v>
      </c>
      <c r="E69" s="25" t="s">
        <v>43</v>
      </c>
      <c r="F69" s="7"/>
      <c r="G69" s="7"/>
      <c r="K69" s="3"/>
    </row>
    <row r="70" spans="1:17">
      <c r="A70" s="26" t="s">
        <v>42</v>
      </c>
      <c r="B70" s="46">
        <f>_xlfn.XLOOKUP(BeginnFolgeKredit,'Cash &amp; Assets'!A8:A38,'Cash &amp; Assets'!D8:D38,0,0,1)</f>
        <v>680308.7046370561</v>
      </c>
      <c r="F70" s="456"/>
      <c r="G70" s="7"/>
      <c r="K70" s="20"/>
    </row>
    <row r="71" spans="1:17" ht="12" customHeight="1">
      <c r="A71" s="26" t="s">
        <v>38</v>
      </c>
      <c r="B71" s="45">
        <v>3.2500000000000001E-2</v>
      </c>
      <c r="C71" s="18" t="s">
        <v>177</v>
      </c>
      <c r="K71" s="3"/>
    </row>
    <row r="72" spans="1:17">
      <c r="A72" s="26" t="s">
        <v>39</v>
      </c>
      <c r="B72" s="44">
        <f>EFFECT(Kreditzins2,12)</f>
        <v>3.2988511810589927E-2</v>
      </c>
      <c r="C72" s="3" t="s">
        <v>40</v>
      </c>
      <c r="K72" s="18"/>
    </row>
    <row r="73" spans="1:17">
      <c r="A73" s="26" t="s">
        <v>141</v>
      </c>
      <c r="B73" s="32">
        <f>B54-B57</f>
        <v>15</v>
      </c>
      <c r="K73" s="3"/>
      <c r="Q73" s="3"/>
    </row>
    <row r="74" spans="1:17">
      <c r="A74" s="26" t="s">
        <v>44</v>
      </c>
      <c r="B74" s="26">
        <f>B58+Restlaufzeit</f>
        <v>2049</v>
      </c>
      <c r="Q74" s="3"/>
    </row>
    <row r="75" spans="1:17">
      <c r="A75" s="26" t="s">
        <v>143</v>
      </c>
      <c r="B75" s="46">
        <f>-PMT(Kreditzins2,Restlaufzeit,Anschlusskredit,0,0)</f>
        <v>58022.563180074467</v>
      </c>
      <c r="D75" s="25"/>
      <c r="Q75" s="3"/>
    </row>
    <row r="76" spans="1:17">
      <c r="A76" s="26" t="s">
        <v>144</v>
      </c>
      <c r="B76" s="39">
        <f>B75/12</f>
        <v>4835.2135983395392</v>
      </c>
      <c r="Q76" s="3"/>
    </row>
    <row r="77" spans="1:17" ht="14.4" customHeight="1">
      <c r="B77" s="21"/>
      <c r="Q77" s="3"/>
    </row>
    <row r="78" spans="1:17" ht="14.4" customHeight="1">
      <c r="A78" s="620" t="s">
        <v>395</v>
      </c>
      <c r="B78" s="621"/>
      <c r="Q78" s="3"/>
    </row>
    <row r="79" spans="1:17">
      <c r="A79" s="3" t="s">
        <v>505</v>
      </c>
      <c r="B79" s="378">
        <v>7.1999999999999995E-2</v>
      </c>
      <c r="C79" s="3" t="s">
        <v>776</v>
      </c>
    </row>
    <row r="80" spans="1:17">
      <c r="A80" s="380" t="s">
        <v>504</v>
      </c>
      <c r="B80" s="301">
        <f>Grenzsteuersatz</f>
        <v>0.42</v>
      </c>
    </row>
    <row r="81" spans="1:19" ht="27.6">
      <c r="A81" s="379" t="s">
        <v>396</v>
      </c>
      <c r="B81" s="377">
        <f>B79*(1-B80)</f>
        <v>4.1759999999999999E-2</v>
      </c>
      <c r="C81" s="614" t="s">
        <v>777</v>
      </c>
      <c r="D81" s="615"/>
      <c r="E81" s="615"/>
      <c r="F81" s="615"/>
      <c r="G81" s="615"/>
      <c r="H81" s="615"/>
    </row>
    <row r="82" spans="1:19" ht="14.4">
      <c r="C82" s="178"/>
    </row>
    <row r="83" spans="1:19" ht="14.4">
      <c r="C83" s="178"/>
    </row>
    <row r="85" spans="1:19">
      <c r="A85" s="6" t="s">
        <v>45</v>
      </c>
    </row>
    <row r="86" spans="1:19">
      <c r="A86" s="3" t="s">
        <v>46</v>
      </c>
    </row>
    <row r="87" spans="1:19">
      <c r="A87" s="3" t="s">
        <v>47</v>
      </c>
    </row>
    <row r="88" spans="1:19" ht="16.2">
      <c r="A88" s="3" t="s">
        <v>135</v>
      </c>
      <c r="L88" s="53"/>
      <c r="M88" s="53"/>
      <c r="N88" s="53"/>
      <c r="O88" s="53"/>
      <c r="P88" s="53"/>
      <c r="Q88" s="53"/>
      <c r="R88" s="53"/>
      <c r="S88" s="53"/>
    </row>
    <row r="89" spans="1:19" s="53" customFormat="1" ht="20.7" customHeight="1">
      <c r="A89" s="3" t="s">
        <v>261</v>
      </c>
      <c r="B89" s="3"/>
      <c r="C89" s="3"/>
      <c r="D89" s="3"/>
      <c r="E89" s="3"/>
      <c r="F89" s="3"/>
      <c r="G89" s="3"/>
      <c r="H89" s="7"/>
      <c r="I89" s="7"/>
      <c r="J89" s="7"/>
      <c r="K89" s="7"/>
      <c r="L89" s="7"/>
      <c r="M89" s="7"/>
      <c r="N89" s="7"/>
      <c r="O89" s="7"/>
      <c r="P89" s="7"/>
      <c r="Q89" s="7"/>
      <c r="R89" s="7"/>
      <c r="S89" s="7"/>
    </row>
    <row r="90" spans="1:19">
      <c r="A90" s="3" t="s">
        <v>262</v>
      </c>
      <c r="K90" s="3"/>
    </row>
    <row r="92" spans="1:19">
      <c r="A92" s="22" t="s">
        <v>164</v>
      </c>
    </row>
    <row r="94" spans="1:19">
      <c r="J94" s="3"/>
    </row>
    <row r="95" spans="1:19" ht="16.2">
      <c r="A95" s="104" t="s">
        <v>9</v>
      </c>
      <c r="B95" s="105"/>
      <c r="H95" s="3"/>
    </row>
    <row r="96" spans="1:19">
      <c r="I96" s="3"/>
    </row>
    <row r="98" spans="1:1" ht="16.2">
      <c r="A98" s="122" t="s">
        <v>242</v>
      </c>
    </row>
    <row r="99" spans="1:1" ht="16.2">
      <c r="A99" s="57" t="s">
        <v>10</v>
      </c>
    </row>
    <row r="102" spans="1:1" ht="17.399999999999999">
      <c r="A102" s="495" t="s">
        <v>635</v>
      </c>
    </row>
    <row r="103" spans="1:1">
      <c r="A103" s="3" t="s">
        <v>636</v>
      </c>
    </row>
  </sheetData>
  <sheetProtection selectLockedCells="1" selectUnlockedCells="1"/>
  <sortState xmlns:xlrd2="http://schemas.microsoft.com/office/spreadsheetml/2017/richdata2" ref="X18:Y20">
    <sortCondition ref="X18:X20"/>
  </sortState>
  <mergeCells count="12">
    <mergeCell ref="C81:H81"/>
    <mergeCell ref="O29:Q34"/>
    <mergeCell ref="C47:I47"/>
    <mergeCell ref="A78:B78"/>
    <mergeCell ref="F1:I1"/>
    <mergeCell ref="G2:I2"/>
    <mergeCell ref="A50:B50"/>
    <mergeCell ref="F53:I53"/>
    <mergeCell ref="C53:E53"/>
    <mergeCell ref="C59:E59"/>
    <mergeCell ref="F54:I54"/>
    <mergeCell ref="K56:P56"/>
  </mergeCells>
  <dataValidations count="5">
    <dataValidation allowBlank="1" showInputMessage="1" promptTitle="Grunderwerbsteuer" prompt="Hier kannst du bei Bedarf die Grunderwerbsteuer-Sätze für einzelne Bundesländer anpassen." sqref="M1" xr:uid="{00000000-0002-0000-0100-000000000000}"/>
    <dataValidation allowBlank="1" showInputMessage="1" promptTitle="Adresse" prompt="Diese Adresse hast du im roten Faden festgelegt. Kehre bitte dorthin zurück, um sie zu ändern." sqref="G2:I2" xr:uid="{00000000-0002-0000-0100-000001000000}"/>
    <dataValidation operator="greaterThan" showInputMessage="1" errorTitle="Wohnfläche" error="Bitte gib die Wohnfläche in m² als positive Zahl ein, bspw. 31." promptTitle="Wohnfläche" prompt="Diese Wohnfläche hast du im roten Faden festgelegt. Bitte kehre dorthin zurück, um sie zu ändern." sqref="G3 I3" xr:uid="{00000000-0002-0000-0100-000002000000}"/>
    <dataValidation allowBlank="1" showInputMessage="1" showErrorMessage="1" promptTitle="Objekt" prompt="Hier gibst du einige Basisdaten zum Objekt ein. Insbesondere die Wohnfläche sowie das Kaufdatum wird in vielen Berechnungen verwendet und ist deshalb Pflicht." sqref="F1:I1" xr:uid="{00000000-0002-0000-0100-000003000000}"/>
    <dataValidation type="custom" allowBlank="1" showInputMessage="1" showErrorMessage="1" promptTitle="Kaufpreis &gt;0" prompt="Muss größer Null sein!" sqref="B4" xr:uid="{00000000-0002-0000-0100-000004000000}">
      <formula1>"&gt;0"</formula1>
    </dataValidation>
  </dataValidations>
  <hyperlinks>
    <hyperlink ref="J5" r:id="rId1" display="Bodenrichtwert" xr:uid="{00000000-0004-0000-0100-000001000000}"/>
    <hyperlink ref="O29" location="Deckblatt!A1" display="Keine Gewähr für die Richtigkeit der Angaben. Dieses Tool ersetzt keine fundierte Rechts-, Steuer- oder Finanzberatung. Mehr Details hier." xr:uid="{00000000-0004-0000-0100-000002000000}"/>
    <hyperlink ref="A99" r:id="rId2" xr:uid="{00000000-0004-0000-0100-000003000000}"/>
    <hyperlink ref="D18" r:id="rId3" xr:uid="{F3C8C4C9-3F72-4189-89D3-AC2150400171}"/>
  </hyperlinks>
  <pageMargins left="0.78749999999999998" right="0.78749999999999998" top="1.0527777777777778" bottom="1.0527777777777778" header="0.78749999999999998" footer="0.78749999999999998"/>
  <pageSetup paperSize="9" orientation="portrait" useFirstPageNumber="1" horizontalDpi="300" verticalDpi="300" r:id="rId4"/>
  <headerFooter alignWithMargins="0">
    <oddHeader>&amp;C&amp;"Times New Roman,Regular"&amp;12&amp;A</oddHeader>
    <oddFooter>&amp;C&amp;"Times New Roman,Regular"&amp;12Page &amp;P</oddFooter>
  </headerFooter>
  <drawing r:id="rId5"/>
  <legacyDrawing r:id="rId6"/>
  <extLst>
    <ext xmlns:x14="http://schemas.microsoft.com/office/spreadsheetml/2009/9/main" uri="{CCE6A557-97BC-4b89-ADB6-D9C93CAAB3DF}">
      <x14:dataValidations xmlns:xm="http://schemas.microsoft.com/office/excel/2006/main" count="1">
        <x14:dataValidation type="list" allowBlank="1" showInputMessage="1" showErrorMessage="1" xr:uid="{30A3557B-936F-47B7-B1DC-5501F528614D}">
          <x14:formula1>
            <xm:f>AfA!$B$15:$F$15</xm:f>
          </x14:formula1>
          <xm:sqref>B19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32A4-7635-4FDA-AEF7-8930F99D737D}">
  <dimension ref="A1:U167"/>
  <sheetViews>
    <sheetView zoomScale="110" zoomScaleNormal="110" workbookViewId="0">
      <selection activeCell="I47" sqref="I47"/>
    </sheetView>
  </sheetViews>
  <sheetFormatPr baseColWidth="10" defaultRowHeight="13.2"/>
  <cols>
    <col min="1" max="1" width="8.44140625" customWidth="1"/>
    <col min="2" max="5" width="15.77734375" customWidth="1"/>
  </cols>
  <sheetData>
    <row r="1" spans="1:21" ht="21">
      <c r="A1" s="340" t="s">
        <v>447</v>
      </c>
    </row>
    <row r="2" spans="1:21" ht="21">
      <c r="A2" s="340"/>
      <c r="B2" s="7"/>
      <c r="C2" s="7"/>
      <c r="D2" s="7"/>
      <c r="E2" s="7"/>
      <c r="F2" s="7"/>
      <c r="I2" s="366" t="s">
        <v>485</v>
      </c>
      <c r="J2" s="367"/>
      <c r="K2" s="367"/>
      <c r="L2" s="367"/>
      <c r="M2" s="367"/>
      <c r="N2" s="367"/>
      <c r="O2" s="367"/>
      <c r="P2" s="367"/>
      <c r="Q2" s="367"/>
      <c r="R2" s="367"/>
      <c r="S2" s="367"/>
      <c r="T2" s="367"/>
      <c r="U2" s="367"/>
    </row>
    <row r="3" spans="1:21" ht="21">
      <c r="A3" s="340"/>
      <c r="B3" s="342" t="s">
        <v>431</v>
      </c>
      <c r="C3" s="343"/>
      <c r="D3" s="341"/>
      <c r="E3" s="341"/>
      <c r="F3" s="341"/>
      <c r="G3" s="341"/>
    </row>
    <row r="4" spans="1:21" ht="21">
      <c r="A4" s="340"/>
      <c r="B4" s="359" t="s">
        <v>491</v>
      </c>
      <c r="C4" s="360"/>
      <c r="D4" s="650" t="s">
        <v>464</v>
      </c>
      <c r="E4" s="651"/>
      <c r="F4" s="651"/>
      <c r="G4" s="652"/>
    </row>
    <row r="5" spans="1:21" ht="21">
      <c r="A5" s="340"/>
      <c r="B5" s="359" t="s">
        <v>492</v>
      </c>
      <c r="C5" s="360"/>
      <c r="D5" s="650" t="s">
        <v>463</v>
      </c>
      <c r="E5" s="651"/>
      <c r="F5" s="651"/>
      <c r="G5" s="652"/>
    </row>
    <row r="6" spans="1:21" ht="21">
      <c r="A6" s="340"/>
      <c r="B6" s="359" t="s">
        <v>429</v>
      </c>
      <c r="C6" s="360"/>
      <c r="D6" s="650" t="s">
        <v>462</v>
      </c>
      <c r="E6" s="651"/>
      <c r="F6" s="651"/>
      <c r="G6" s="652"/>
    </row>
    <row r="7" spans="1:21" ht="21">
      <c r="A7" s="340"/>
      <c r="B7" s="359" t="s">
        <v>428</v>
      </c>
      <c r="C7" s="360"/>
      <c r="D7" s="650" t="s">
        <v>461</v>
      </c>
      <c r="E7" s="651"/>
      <c r="F7" s="651"/>
      <c r="G7" s="652"/>
    </row>
    <row r="8" spans="1:21" ht="21">
      <c r="A8" s="340"/>
      <c r="B8" s="359" t="s">
        <v>460</v>
      </c>
      <c r="C8" s="360" t="s">
        <v>470</v>
      </c>
      <c r="D8" s="653" t="s">
        <v>448</v>
      </c>
      <c r="E8" s="654"/>
      <c r="F8" s="654"/>
      <c r="G8" s="655"/>
    </row>
    <row r="9" spans="1:21">
      <c r="B9" s="345" t="s">
        <v>430</v>
      </c>
      <c r="C9" s="346"/>
      <c r="D9" s="346"/>
      <c r="E9" s="346"/>
      <c r="F9" s="346"/>
      <c r="G9" s="347"/>
    </row>
    <row r="10" spans="1:21">
      <c r="B10" s="344"/>
      <c r="C10" s="344"/>
      <c r="D10" s="344"/>
      <c r="E10" s="344"/>
      <c r="F10" s="344"/>
    </row>
    <row r="11" spans="1:21">
      <c r="F11" s="7"/>
    </row>
    <row r="12" spans="1:21" ht="14.4" customHeight="1">
      <c r="B12" s="640" t="s">
        <v>475</v>
      </c>
      <c r="C12" s="641"/>
      <c r="D12" s="641"/>
      <c r="E12" s="641"/>
      <c r="F12" s="642"/>
    </row>
    <row r="13" spans="1:21" ht="14.4" customHeight="1">
      <c r="B13" s="643"/>
      <c r="C13" s="644"/>
      <c r="D13" s="644"/>
      <c r="E13" s="644"/>
      <c r="F13" s="645"/>
    </row>
    <row r="14" spans="1:21">
      <c r="B14" s="646"/>
      <c r="C14" s="647"/>
      <c r="D14" s="647"/>
      <c r="E14" s="647"/>
      <c r="F14" s="648"/>
    </row>
    <row r="15" spans="1:21" ht="29.4" customHeight="1">
      <c r="A15" s="365" t="s">
        <v>49</v>
      </c>
      <c r="B15" s="348" t="s">
        <v>449</v>
      </c>
      <c r="C15" s="348" t="s">
        <v>450</v>
      </c>
      <c r="D15" s="349" t="s">
        <v>451</v>
      </c>
      <c r="E15" s="349" t="s">
        <v>452</v>
      </c>
      <c r="F15" s="349" t="s">
        <v>453</v>
      </c>
      <c r="J15" s="590" t="s">
        <v>599</v>
      </c>
      <c r="K15" s="591"/>
      <c r="L15" s="591"/>
      <c r="M15" s="591"/>
      <c r="N15" s="591"/>
      <c r="O15" s="591"/>
    </row>
    <row r="16" spans="1:21" ht="15.6">
      <c r="A16" s="171">
        <v>1</v>
      </c>
      <c r="B16" s="174">
        <v>0.05</v>
      </c>
      <c r="C16" s="174">
        <v>0.05</v>
      </c>
      <c r="D16" s="174">
        <v>0.03</v>
      </c>
      <c r="E16" s="174">
        <v>0.02</v>
      </c>
      <c r="F16" s="353">
        <f t="shared" ref="F16:F46" si="0">1/Lebensdauer*(A16&lt;=Lebensdauer)</f>
        <v>0.02</v>
      </c>
      <c r="J16" s="432" t="s">
        <v>408</v>
      </c>
    </row>
    <row r="17" spans="1:6" ht="14.4">
      <c r="A17" s="171">
        <v>2</v>
      </c>
      <c r="B17" s="174">
        <v>0.05</v>
      </c>
      <c r="C17" s="174">
        <v>0.05</v>
      </c>
      <c r="D17" s="174">
        <v>0.03</v>
      </c>
      <c r="E17" s="174">
        <v>0.02</v>
      </c>
      <c r="F17" s="353">
        <f t="shared" si="0"/>
        <v>0.02</v>
      </c>
    </row>
    <row r="18" spans="1:6" ht="14.4">
      <c r="A18" s="171">
        <v>3</v>
      </c>
      <c r="B18" s="174">
        <v>0.05</v>
      </c>
      <c r="C18" s="174">
        <v>0.05</v>
      </c>
      <c r="D18" s="174">
        <v>0.03</v>
      </c>
      <c r="E18" s="174">
        <v>0.02</v>
      </c>
      <c r="F18" s="353">
        <f t="shared" si="0"/>
        <v>0.02</v>
      </c>
    </row>
    <row r="19" spans="1:6" ht="14.4">
      <c r="A19" s="171">
        <v>4</v>
      </c>
      <c r="B19" s="174">
        <v>0.05</v>
      </c>
      <c r="C19" s="174">
        <v>0.05</v>
      </c>
      <c r="D19" s="174">
        <v>0.03</v>
      </c>
      <c r="E19" s="174">
        <v>0.02</v>
      </c>
      <c r="F19" s="353">
        <f t="shared" si="0"/>
        <v>0.02</v>
      </c>
    </row>
    <row r="20" spans="1:6" ht="14.4">
      <c r="A20" s="171">
        <v>5</v>
      </c>
      <c r="B20" s="174">
        <v>0.05</v>
      </c>
      <c r="C20" s="174">
        <v>0.05</v>
      </c>
      <c r="D20" s="174">
        <v>0.03</v>
      </c>
      <c r="E20" s="174">
        <v>0.02</v>
      </c>
      <c r="F20" s="353">
        <f t="shared" si="0"/>
        <v>0.02</v>
      </c>
    </row>
    <row r="21" spans="1:6" ht="14.4">
      <c r="A21" s="171">
        <v>6</v>
      </c>
      <c r="B21" s="174">
        <v>0.05</v>
      </c>
      <c r="C21" s="174">
        <v>0.05</v>
      </c>
      <c r="D21" s="174">
        <v>0.03</v>
      </c>
      <c r="E21" s="174">
        <v>0.02</v>
      </c>
      <c r="F21" s="353">
        <f t="shared" si="0"/>
        <v>0.02</v>
      </c>
    </row>
    <row r="22" spans="1:6" ht="14.4">
      <c r="A22" s="171">
        <v>7</v>
      </c>
      <c r="B22" s="174">
        <v>0.03</v>
      </c>
      <c r="C22" s="174">
        <v>0.02</v>
      </c>
      <c r="D22" s="174">
        <v>0.03</v>
      </c>
      <c r="E22" s="174">
        <v>0.02</v>
      </c>
      <c r="F22" s="353">
        <f t="shared" si="0"/>
        <v>0.02</v>
      </c>
    </row>
    <row r="23" spans="1:6" ht="14.4">
      <c r="A23" s="171">
        <v>8</v>
      </c>
      <c r="B23" s="174">
        <v>0.03</v>
      </c>
      <c r="C23" s="174">
        <v>0.02</v>
      </c>
      <c r="D23" s="174">
        <v>0.03</v>
      </c>
      <c r="E23" s="174">
        <v>0.02</v>
      </c>
      <c r="F23" s="353">
        <f t="shared" si="0"/>
        <v>0.02</v>
      </c>
    </row>
    <row r="24" spans="1:6" ht="14.4">
      <c r="A24" s="171">
        <v>9</v>
      </c>
      <c r="B24" s="174">
        <v>0.03</v>
      </c>
      <c r="C24" s="174">
        <v>0.02</v>
      </c>
      <c r="D24" s="174">
        <v>0.03</v>
      </c>
      <c r="E24" s="174">
        <v>0.02</v>
      </c>
      <c r="F24" s="353">
        <f t="shared" si="0"/>
        <v>0.02</v>
      </c>
    </row>
    <row r="25" spans="1:6" ht="14.4">
      <c r="A25" s="171">
        <v>10</v>
      </c>
      <c r="B25" s="174">
        <v>0.03</v>
      </c>
      <c r="C25" s="174">
        <v>0.02</v>
      </c>
      <c r="D25" s="174">
        <v>0.03</v>
      </c>
      <c r="E25" s="174">
        <v>0.02</v>
      </c>
      <c r="F25" s="353">
        <f t="shared" si="0"/>
        <v>0.02</v>
      </c>
    </row>
    <row r="26" spans="1:6" ht="14.4">
      <c r="A26" s="171">
        <v>11</v>
      </c>
      <c r="B26" s="174">
        <v>0.03</v>
      </c>
      <c r="C26" s="174">
        <v>0.02</v>
      </c>
      <c r="D26" s="174">
        <v>0.03</v>
      </c>
      <c r="E26" s="174">
        <v>0.02</v>
      </c>
      <c r="F26" s="353">
        <f t="shared" si="0"/>
        <v>0.02</v>
      </c>
    </row>
    <row r="27" spans="1:6" ht="14.4">
      <c r="A27" s="171">
        <v>12</v>
      </c>
      <c r="B27" s="174">
        <v>0.03</v>
      </c>
      <c r="C27" s="174">
        <v>0.02</v>
      </c>
      <c r="D27" s="174">
        <v>0.03</v>
      </c>
      <c r="E27" s="174">
        <v>0.02</v>
      </c>
      <c r="F27" s="353">
        <f t="shared" si="0"/>
        <v>0.02</v>
      </c>
    </row>
    <row r="28" spans="1:6" ht="14.4">
      <c r="A28" s="171">
        <v>13</v>
      </c>
      <c r="B28" s="174">
        <v>0.03</v>
      </c>
      <c r="C28" s="174">
        <v>0.02</v>
      </c>
      <c r="D28" s="174">
        <v>0.03</v>
      </c>
      <c r="E28" s="174">
        <v>0.02</v>
      </c>
      <c r="F28" s="353">
        <f t="shared" si="0"/>
        <v>0.02</v>
      </c>
    </row>
    <row r="29" spans="1:6" ht="14.4">
      <c r="A29" s="171">
        <v>14</v>
      </c>
      <c r="B29" s="174">
        <v>0.03</v>
      </c>
      <c r="C29" s="174">
        <v>0.02</v>
      </c>
      <c r="D29" s="174">
        <v>0.03</v>
      </c>
      <c r="E29" s="174">
        <v>0.02</v>
      </c>
      <c r="F29" s="353">
        <f t="shared" si="0"/>
        <v>0.02</v>
      </c>
    </row>
    <row r="30" spans="1:6" ht="14.4">
      <c r="A30" s="171">
        <v>15</v>
      </c>
      <c r="B30" s="174">
        <v>0.03</v>
      </c>
      <c r="C30" s="174">
        <v>0.02</v>
      </c>
      <c r="D30" s="174">
        <v>0.03</v>
      </c>
      <c r="E30" s="174">
        <v>0.02</v>
      </c>
      <c r="F30" s="353">
        <f t="shared" si="0"/>
        <v>0.02</v>
      </c>
    </row>
    <row r="31" spans="1:6" ht="14.4">
      <c r="A31" s="171">
        <v>16</v>
      </c>
      <c r="B31" s="174">
        <v>0.03</v>
      </c>
      <c r="C31" s="174">
        <v>0.02</v>
      </c>
      <c r="D31" s="174">
        <v>0.03</v>
      </c>
      <c r="E31" s="174">
        <v>0.02</v>
      </c>
      <c r="F31" s="353">
        <f t="shared" si="0"/>
        <v>0.02</v>
      </c>
    </row>
    <row r="32" spans="1:6" ht="14.4">
      <c r="A32" s="171">
        <v>17</v>
      </c>
      <c r="B32" s="174">
        <v>0.03</v>
      </c>
      <c r="C32" s="174">
        <v>0.02</v>
      </c>
      <c r="D32" s="174">
        <v>0.03</v>
      </c>
      <c r="E32" s="174">
        <v>0.02</v>
      </c>
      <c r="F32" s="353">
        <f t="shared" si="0"/>
        <v>0.02</v>
      </c>
    </row>
    <row r="33" spans="1:6" ht="14.4">
      <c r="A33" s="171">
        <v>18</v>
      </c>
      <c r="B33" s="174">
        <v>0.03</v>
      </c>
      <c r="C33" s="174">
        <v>0.02</v>
      </c>
      <c r="D33" s="174">
        <v>0.03</v>
      </c>
      <c r="E33" s="174">
        <v>0.02</v>
      </c>
      <c r="F33" s="353">
        <f t="shared" si="0"/>
        <v>0.02</v>
      </c>
    </row>
    <row r="34" spans="1:6" ht="14.4">
      <c r="A34" s="171">
        <v>19</v>
      </c>
      <c r="B34" s="174">
        <v>0.03</v>
      </c>
      <c r="C34" s="174">
        <v>0.02</v>
      </c>
      <c r="D34" s="174">
        <v>0.03</v>
      </c>
      <c r="E34" s="174">
        <v>0.02</v>
      </c>
      <c r="F34" s="353">
        <f t="shared" si="0"/>
        <v>0.02</v>
      </c>
    </row>
    <row r="35" spans="1:6" ht="14.4">
      <c r="A35" s="171">
        <v>20</v>
      </c>
      <c r="B35" s="174">
        <v>0.03</v>
      </c>
      <c r="C35" s="174">
        <v>0.02</v>
      </c>
      <c r="D35" s="174">
        <v>0.03</v>
      </c>
      <c r="E35" s="174">
        <v>0.02</v>
      </c>
      <c r="F35" s="353">
        <f t="shared" si="0"/>
        <v>0.02</v>
      </c>
    </row>
    <row r="36" spans="1:6" ht="14.4">
      <c r="A36" s="171">
        <v>21</v>
      </c>
      <c r="B36" s="174">
        <v>0.03</v>
      </c>
      <c r="C36" s="174">
        <v>0.02</v>
      </c>
      <c r="D36" s="174">
        <v>0.03</v>
      </c>
      <c r="E36" s="174">
        <v>0.02</v>
      </c>
      <c r="F36" s="353">
        <f t="shared" si="0"/>
        <v>0.02</v>
      </c>
    </row>
    <row r="37" spans="1:6" ht="14.4">
      <c r="A37" s="171">
        <v>22</v>
      </c>
      <c r="B37" s="174">
        <v>0.03</v>
      </c>
      <c r="C37" s="174">
        <v>0.02</v>
      </c>
      <c r="D37" s="174">
        <v>0.03</v>
      </c>
      <c r="E37" s="174">
        <v>0.02</v>
      </c>
      <c r="F37" s="353">
        <f t="shared" si="0"/>
        <v>0.02</v>
      </c>
    </row>
    <row r="38" spans="1:6" ht="14.4">
      <c r="A38" s="171">
        <v>23</v>
      </c>
      <c r="B38" s="174">
        <v>0.03</v>
      </c>
      <c r="C38" s="174">
        <v>0.02</v>
      </c>
      <c r="D38" s="174">
        <v>0.03</v>
      </c>
      <c r="E38" s="174">
        <v>0.02</v>
      </c>
      <c r="F38" s="353">
        <f t="shared" si="0"/>
        <v>0.02</v>
      </c>
    </row>
    <row r="39" spans="1:6" ht="14.4">
      <c r="A39" s="171">
        <v>24</v>
      </c>
      <c r="B39" s="174">
        <v>0.03</v>
      </c>
      <c r="C39" s="174">
        <v>0.02</v>
      </c>
      <c r="D39" s="174">
        <v>0.03</v>
      </c>
      <c r="E39" s="174">
        <v>0.02</v>
      </c>
      <c r="F39" s="353">
        <f t="shared" si="0"/>
        <v>0.02</v>
      </c>
    </row>
    <row r="40" spans="1:6" ht="14.4">
      <c r="A40" s="171">
        <v>25</v>
      </c>
      <c r="B40" s="174">
        <v>0.03</v>
      </c>
      <c r="C40" s="174">
        <v>0.02</v>
      </c>
      <c r="D40" s="174">
        <v>0.03</v>
      </c>
      <c r="E40" s="174">
        <v>0.02</v>
      </c>
      <c r="F40" s="353">
        <f t="shared" si="0"/>
        <v>0.02</v>
      </c>
    </row>
    <row r="41" spans="1:6" ht="14.4">
      <c r="A41" s="171">
        <v>26</v>
      </c>
      <c r="B41" s="174">
        <v>0.03</v>
      </c>
      <c r="C41" s="174">
        <v>0.02</v>
      </c>
      <c r="D41" s="174">
        <v>0.03</v>
      </c>
      <c r="E41" s="174">
        <v>0.02</v>
      </c>
      <c r="F41" s="353">
        <f t="shared" si="0"/>
        <v>0.02</v>
      </c>
    </row>
    <row r="42" spans="1:6" ht="14.4">
      <c r="A42" s="171">
        <v>27</v>
      </c>
      <c r="B42" s="174">
        <v>0.03</v>
      </c>
      <c r="C42" s="174">
        <v>0.02</v>
      </c>
      <c r="D42" s="174">
        <v>0.03</v>
      </c>
      <c r="E42" s="174">
        <v>0.02</v>
      </c>
      <c r="F42" s="353">
        <f t="shared" si="0"/>
        <v>0.02</v>
      </c>
    </row>
    <row r="43" spans="1:6" ht="14.4">
      <c r="A43" s="171">
        <v>28</v>
      </c>
      <c r="B43" s="174">
        <v>0.03</v>
      </c>
      <c r="C43" s="174">
        <v>0.02</v>
      </c>
      <c r="D43" s="174">
        <v>0.03</v>
      </c>
      <c r="E43" s="174">
        <v>0.02</v>
      </c>
      <c r="F43" s="353">
        <f t="shared" si="0"/>
        <v>0.02</v>
      </c>
    </row>
    <row r="44" spans="1:6" ht="14.4">
      <c r="A44" s="171">
        <v>29</v>
      </c>
      <c r="B44" s="174">
        <v>0.03</v>
      </c>
      <c r="C44" s="174">
        <v>0.02</v>
      </c>
      <c r="D44" s="174">
        <v>0.03</v>
      </c>
      <c r="E44" s="174">
        <v>0.02</v>
      </c>
      <c r="F44" s="353">
        <f t="shared" si="0"/>
        <v>0.02</v>
      </c>
    </row>
    <row r="45" spans="1:6" ht="14.4">
      <c r="A45" s="171">
        <v>30</v>
      </c>
      <c r="B45" s="174">
        <v>0.03</v>
      </c>
      <c r="C45" s="174">
        <v>0.02</v>
      </c>
      <c r="D45" s="174">
        <v>0.03</v>
      </c>
      <c r="E45" s="174">
        <v>0.02</v>
      </c>
      <c r="F45" s="353">
        <f t="shared" si="0"/>
        <v>0.02</v>
      </c>
    </row>
    <row r="46" spans="1:6" ht="14.4">
      <c r="A46" s="171">
        <v>31</v>
      </c>
      <c r="B46" s="174">
        <v>0.03</v>
      </c>
      <c r="C46" s="174">
        <v>0.02</v>
      </c>
      <c r="D46" s="174">
        <v>0.03</v>
      </c>
      <c r="E46" s="174">
        <v>0.02</v>
      </c>
      <c r="F46" s="353">
        <f t="shared" si="0"/>
        <v>0.02</v>
      </c>
    </row>
    <row r="47" spans="1:6" ht="14.4">
      <c r="F47" s="178" t="s">
        <v>267</v>
      </c>
    </row>
    <row r="48" spans="1:6" ht="14.4">
      <c r="F48" s="221" t="s">
        <v>454</v>
      </c>
    </row>
    <row r="49" spans="1:7" ht="14.4">
      <c r="F49" s="180" t="s">
        <v>455</v>
      </c>
    </row>
    <row r="50" spans="1:7" ht="14.4">
      <c r="F50" s="165" t="s">
        <v>456</v>
      </c>
    </row>
    <row r="51" spans="1:7" ht="14.4">
      <c r="F51" s="187" t="s">
        <v>457</v>
      </c>
    </row>
    <row r="52" spans="1:7">
      <c r="F52" t="s">
        <v>458</v>
      </c>
    </row>
    <row r="53" spans="1:7">
      <c r="F53" t="s">
        <v>459</v>
      </c>
    </row>
    <row r="55" spans="1:7">
      <c r="F55" s="363" t="s">
        <v>471</v>
      </c>
      <c r="G55" s="363"/>
    </row>
    <row r="56" spans="1:7">
      <c r="F56" s="363" t="s">
        <v>472</v>
      </c>
      <c r="G56" s="363"/>
    </row>
    <row r="57" spans="1:7">
      <c r="F57" s="363" t="s">
        <v>473</v>
      </c>
      <c r="G57" s="363"/>
    </row>
    <row r="58" spans="1:7" ht="13.8">
      <c r="F58" s="364" t="s">
        <v>477</v>
      </c>
      <c r="G58" s="363"/>
    </row>
    <row r="59" spans="1:7">
      <c r="F59" s="363" t="s">
        <v>474</v>
      </c>
      <c r="G59" s="363"/>
    </row>
    <row r="60" spans="1:7">
      <c r="F60" s="363" t="s">
        <v>494</v>
      </c>
      <c r="G60" s="363"/>
    </row>
    <row r="63" spans="1:7" s="53" customFormat="1" ht="20.7" customHeight="1">
      <c r="A63" s="327" t="s">
        <v>408</v>
      </c>
    </row>
    <row r="64" spans="1:7" s="53" customFormat="1" ht="20.7" customHeight="1">
      <c r="A64" s="329" t="s">
        <v>418</v>
      </c>
      <c r="B64" s="96" t="s">
        <v>417</v>
      </c>
    </row>
    <row r="65" spans="1:8" s="53" customFormat="1" ht="20.7" customHeight="1">
      <c r="A65" s="329"/>
      <c r="B65" s="96"/>
    </row>
    <row r="66" spans="1:8" s="53" customFormat="1" ht="32.4" customHeight="1">
      <c r="A66" s="649" t="s">
        <v>409</v>
      </c>
      <c r="B66" s="649"/>
      <c r="C66" s="649"/>
      <c r="D66" s="649"/>
      <c r="E66" s="649"/>
      <c r="F66" s="649"/>
      <c r="G66" s="649"/>
      <c r="H66" s="361"/>
    </row>
    <row r="67" spans="1:8" s="53" customFormat="1" ht="27" customHeight="1">
      <c r="A67" s="649" t="s">
        <v>410</v>
      </c>
      <c r="B67" s="649"/>
      <c r="C67" s="649"/>
      <c r="D67" s="649"/>
      <c r="E67" s="649"/>
      <c r="F67" s="649"/>
      <c r="G67" s="649"/>
      <c r="H67" s="649"/>
    </row>
    <row r="68" spans="1:8" s="53" customFormat="1" ht="20.7" customHeight="1">
      <c r="A68" s="649" t="s">
        <v>411</v>
      </c>
      <c r="B68" s="649"/>
      <c r="C68" s="649"/>
      <c r="D68" s="649"/>
      <c r="E68" s="649"/>
      <c r="F68" s="649"/>
      <c r="G68" s="649"/>
      <c r="H68" s="361"/>
    </row>
    <row r="69" spans="1:8" s="53" customFormat="1" ht="31.2" customHeight="1">
      <c r="A69" s="649" t="s">
        <v>412</v>
      </c>
      <c r="B69" s="649"/>
      <c r="C69" s="649"/>
      <c r="D69" s="649"/>
      <c r="E69" s="649"/>
      <c r="F69" s="649"/>
      <c r="G69" s="649"/>
      <c r="H69" s="414"/>
    </row>
    <row r="70" spans="1:8" s="53" customFormat="1" ht="58.2" customHeight="1">
      <c r="A70" s="649" t="s">
        <v>413</v>
      </c>
      <c r="B70" s="649"/>
      <c r="C70" s="649"/>
      <c r="D70" s="649"/>
      <c r="E70" s="649"/>
      <c r="F70" s="649"/>
      <c r="G70" s="649"/>
      <c r="H70" s="649"/>
    </row>
    <row r="71" spans="1:8" s="53" customFormat="1" ht="31.2" customHeight="1">
      <c r="A71" s="649" t="s">
        <v>414</v>
      </c>
      <c r="B71" s="649"/>
      <c r="C71" s="649"/>
      <c r="D71" s="649"/>
      <c r="E71" s="649"/>
      <c r="F71" s="649"/>
      <c r="G71" s="649"/>
      <c r="H71" s="649"/>
    </row>
    <row r="72" spans="1:8" s="53" customFormat="1" ht="51.6" customHeight="1">
      <c r="A72" s="649" t="s">
        <v>415</v>
      </c>
      <c r="B72" s="649"/>
      <c r="C72" s="649"/>
      <c r="D72" s="649"/>
      <c r="E72" s="649"/>
      <c r="F72" s="649"/>
      <c r="G72" s="649"/>
      <c r="H72" s="649"/>
    </row>
    <row r="73" spans="1:8" s="53" customFormat="1" ht="59.4" customHeight="1">
      <c r="A73" s="649" t="s">
        <v>416</v>
      </c>
      <c r="B73" s="649"/>
      <c r="C73" s="649"/>
      <c r="D73" s="649"/>
      <c r="E73" s="649"/>
      <c r="F73" s="649"/>
      <c r="G73" s="649"/>
      <c r="H73" s="649"/>
    </row>
    <row r="76" spans="1:8" ht="15.6">
      <c r="A76" s="428" t="s">
        <v>598</v>
      </c>
    </row>
    <row r="77" spans="1:8" ht="15.6">
      <c r="A77" s="428" t="s">
        <v>648</v>
      </c>
    </row>
    <row r="78" spans="1:8" ht="15.6">
      <c r="A78" s="428" t="s">
        <v>649</v>
      </c>
    </row>
    <row r="79" spans="1:8" ht="15.6">
      <c r="A79" s="424" t="s">
        <v>576</v>
      </c>
    </row>
    <row r="80" spans="1:8" ht="15.6">
      <c r="A80" s="424" t="s">
        <v>577</v>
      </c>
    </row>
    <row r="81" spans="1:9" ht="15.6">
      <c r="A81" s="424" t="s">
        <v>578</v>
      </c>
    </row>
    <row r="82" spans="1:9" ht="15.6">
      <c r="A82" s="428"/>
    </row>
    <row r="83" spans="1:9" ht="15.6">
      <c r="A83" s="428"/>
    </row>
    <row r="84" spans="1:9" ht="15.6">
      <c r="A84" s="428" t="s">
        <v>579</v>
      </c>
    </row>
    <row r="85" spans="1:9" ht="15.6">
      <c r="A85" s="429" t="s">
        <v>580</v>
      </c>
    </row>
    <row r="86" spans="1:9" ht="15.6">
      <c r="A86" s="424" t="s">
        <v>581</v>
      </c>
    </row>
    <row r="87" spans="1:9" ht="15.6">
      <c r="A87" s="424" t="s">
        <v>582</v>
      </c>
    </row>
    <row r="88" spans="1:9" ht="15.6">
      <c r="A88" s="424" t="s">
        <v>583</v>
      </c>
    </row>
    <row r="89" spans="1:9" ht="15.6">
      <c r="A89" s="424" t="s">
        <v>584</v>
      </c>
    </row>
    <row r="90" spans="1:9" ht="16.2" customHeight="1">
      <c r="A90" s="424"/>
    </row>
    <row r="91" spans="1:9" s="53" customFormat="1" ht="20.7" customHeight="1">
      <c r="A91" s="111" t="s">
        <v>419</v>
      </c>
    </row>
    <row r="92" spans="1:9" s="53" customFormat="1" ht="67.2" customHeight="1">
      <c r="A92" s="612" t="s">
        <v>420</v>
      </c>
      <c r="B92" s="612"/>
      <c r="C92" s="612"/>
      <c r="D92" s="612"/>
      <c r="E92" s="612"/>
      <c r="F92" s="612"/>
      <c r="G92" s="612"/>
      <c r="H92" s="612"/>
      <c r="I92" s="612"/>
    </row>
    <row r="93" spans="1:9" ht="15.6">
      <c r="A93" s="424"/>
    </row>
    <row r="94" spans="1:9" ht="15.6">
      <c r="A94" s="429"/>
    </row>
    <row r="95" spans="1:9" ht="15.6">
      <c r="A95" s="429"/>
    </row>
    <row r="96" spans="1:9" ht="15.6">
      <c r="A96" s="429"/>
    </row>
    <row r="97" spans="1:1" ht="15.6">
      <c r="A97" s="429"/>
    </row>
    <row r="98" spans="1:1" ht="15.6">
      <c r="A98" s="429"/>
    </row>
    <row r="99" spans="1:1" ht="15.6">
      <c r="A99" s="429"/>
    </row>
    <row r="100" spans="1:1" ht="15.6">
      <c r="A100" s="429"/>
    </row>
    <row r="101" spans="1:1" ht="15.6">
      <c r="A101" s="429"/>
    </row>
    <row r="102" spans="1:1" ht="15.6">
      <c r="A102" s="429"/>
    </row>
    <row r="103" spans="1:1" ht="15.6">
      <c r="A103" s="429"/>
    </row>
    <row r="104" spans="1:1" ht="15.6">
      <c r="A104" s="429"/>
    </row>
    <row r="105" spans="1:1" ht="15.6">
      <c r="A105" s="429"/>
    </row>
    <row r="106" spans="1:1" ht="15.6">
      <c r="A106" s="429"/>
    </row>
    <row r="107" spans="1:1" ht="15.6">
      <c r="A107" s="429"/>
    </row>
    <row r="108" spans="1:1" ht="15.6">
      <c r="A108" s="429"/>
    </row>
    <row r="109" spans="1:1" ht="15.6">
      <c r="A109" s="429"/>
    </row>
    <row r="110" spans="1:1" ht="15.6">
      <c r="A110" s="429"/>
    </row>
    <row r="111" spans="1:1" ht="15.6">
      <c r="A111" s="429"/>
    </row>
    <row r="112" spans="1:1" ht="15.6">
      <c r="A112" s="429"/>
    </row>
    <row r="113" spans="1:1" ht="15.6">
      <c r="A113" s="429"/>
    </row>
    <row r="114" spans="1:1" ht="15.6">
      <c r="A114" s="429"/>
    </row>
    <row r="115" spans="1:1" ht="15.6">
      <c r="A115" s="429"/>
    </row>
    <row r="116" spans="1:1" ht="15.6">
      <c r="A116" s="429"/>
    </row>
    <row r="117" spans="1:1" ht="15.6">
      <c r="A117" s="429" t="s">
        <v>585</v>
      </c>
    </row>
    <row r="118" spans="1:1" ht="15.6">
      <c r="A118" s="424" t="s">
        <v>586</v>
      </c>
    </row>
    <row r="119" spans="1:1" ht="15.6">
      <c r="A119" s="424" t="s">
        <v>587</v>
      </c>
    </row>
    <row r="120" spans="1:1" ht="15.6">
      <c r="A120" s="424"/>
    </row>
    <row r="121" spans="1:1" ht="15.6">
      <c r="A121" s="429" t="s">
        <v>588</v>
      </c>
    </row>
    <row r="122" spans="1:1" ht="15.6">
      <c r="A122" s="424" t="s">
        <v>589</v>
      </c>
    </row>
    <row r="123" spans="1:1" ht="15.6">
      <c r="A123" s="424" t="s">
        <v>590</v>
      </c>
    </row>
    <row r="124" spans="1:1" ht="15.6">
      <c r="A124" s="424" t="s">
        <v>591</v>
      </c>
    </row>
    <row r="125" spans="1:1" ht="15.6">
      <c r="A125" s="428"/>
    </row>
    <row r="126" spans="1:1" ht="15.6">
      <c r="A126" s="428" t="s">
        <v>592</v>
      </c>
    </row>
    <row r="150" spans="1:3" ht="15.6">
      <c r="A150" s="429" t="s">
        <v>593</v>
      </c>
    </row>
    <row r="151" spans="1:3" ht="15.6">
      <c r="A151" s="424" t="s">
        <v>594</v>
      </c>
    </row>
    <row r="152" spans="1:3" ht="15.6">
      <c r="A152" s="424" t="s">
        <v>595</v>
      </c>
    </row>
    <row r="153" spans="1:3" ht="15.6">
      <c r="A153" s="424" t="s">
        <v>596</v>
      </c>
    </row>
    <row r="154" spans="1:3" ht="15.6">
      <c r="A154" s="430"/>
    </row>
    <row r="155" spans="1:3">
      <c r="A155" s="431" t="s">
        <v>597</v>
      </c>
    </row>
    <row r="156" spans="1:3" ht="15.6">
      <c r="A156" s="430"/>
    </row>
    <row r="157" spans="1:3" ht="22.8">
      <c r="A157" s="567" t="s">
        <v>707</v>
      </c>
      <c r="C157" s="327" t="s">
        <v>708</v>
      </c>
    </row>
    <row r="158" spans="1:3">
      <c r="B158" s="96" t="s">
        <v>709</v>
      </c>
    </row>
    <row r="160" spans="1:3" s="53" customFormat="1" ht="20.7" customHeight="1"/>
    <row r="161" spans="1:9" s="53" customFormat="1" ht="20.7" customHeight="1">
      <c r="A161" s="327" t="s">
        <v>421</v>
      </c>
    </row>
    <row r="162" spans="1:9" s="53" customFormat="1" ht="20.7" customHeight="1">
      <c r="A162" s="329" t="s">
        <v>418</v>
      </c>
      <c r="B162" s="96" t="s">
        <v>425</v>
      </c>
    </row>
    <row r="163" spans="1:9" s="53" customFormat="1" ht="33.6" customHeight="1">
      <c r="A163" s="612" t="s">
        <v>422</v>
      </c>
      <c r="B163" s="612"/>
      <c r="C163" s="612"/>
      <c r="D163" s="612"/>
      <c r="E163" s="612"/>
      <c r="F163" s="612"/>
      <c r="G163" s="612"/>
      <c r="H163" s="612"/>
      <c r="I163" s="612"/>
    </row>
    <row r="164" spans="1:9" s="53" customFormat="1" ht="33.6" customHeight="1">
      <c r="A164" s="612" t="s">
        <v>423</v>
      </c>
      <c r="B164" s="612"/>
      <c r="C164" s="612"/>
      <c r="D164" s="612"/>
      <c r="E164" s="612"/>
      <c r="F164" s="612"/>
      <c r="G164" s="612"/>
      <c r="H164" s="612"/>
      <c r="I164" s="612"/>
    </row>
    <row r="165" spans="1:9" s="53" customFormat="1" ht="18" customHeight="1">
      <c r="A165" s="612" t="s">
        <v>424</v>
      </c>
      <c r="B165" s="612"/>
      <c r="C165" s="612"/>
      <c r="D165" s="612"/>
      <c r="E165" s="612"/>
      <c r="F165" s="612"/>
      <c r="G165" s="612"/>
      <c r="H165" s="612"/>
      <c r="I165" s="612"/>
    </row>
    <row r="166" spans="1:9" s="53" customFormat="1" ht="13.95" customHeight="1"/>
    <row r="167" spans="1:9" s="53" customFormat="1" ht="13.95" customHeight="1">
      <c r="A167" s="336" t="s">
        <v>476</v>
      </c>
      <c r="B167" s="96" t="s">
        <v>434</v>
      </c>
    </row>
  </sheetData>
  <mergeCells count="18">
    <mergeCell ref="D4:G4"/>
    <mergeCell ref="D5:G5"/>
    <mergeCell ref="D6:G6"/>
    <mergeCell ref="D7:G7"/>
    <mergeCell ref="D8:G8"/>
    <mergeCell ref="A164:I164"/>
    <mergeCell ref="A165:I165"/>
    <mergeCell ref="A70:H70"/>
    <mergeCell ref="A71:H71"/>
    <mergeCell ref="A72:H72"/>
    <mergeCell ref="A73:H73"/>
    <mergeCell ref="B12:F14"/>
    <mergeCell ref="A92:I92"/>
    <mergeCell ref="A163:I163"/>
    <mergeCell ref="A67:H67"/>
    <mergeCell ref="A66:G66"/>
    <mergeCell ref="A68:G68"/>
    <mergeCell ref="A69:G69"/>
  </mergeCells>
  <hyperlinks>
    <hyperlink ref="B64" r:id="rId1" xr:uid="{3A5261DF-FF10-441F-BEDB-845F09FD7EF1}"/>
    <hyperlink ref="B162" r:id="rId2" xr:uid="{E1E03A64-0A83-4B3D-8919-13C6F1BECD17}"/>
    <hyperlink ref="B167" r:id="rId3" xr:uid="{675B92B9-FE61-42C3-93D7-745E0FDA0DBA}"/>
    <hyperlink ref="F58" r:id="rId4" display="der Restnutzungsdauer" xr:uid="{625CE15E-180D-4DC0-91B6-B67947560E97}"/>
    <hyperlink ref="D8" r:id="rId5" display="der Restnutzungsdauer" xr:uid="{76097630-B723-4FD0-A1EE-6573804194C9}"/>
    <hyperlink ref="A155" r:id="rId6" display="https://ivd.net/bundesverband/steuerliche-vorteile-im-wohnungsbau-degressive-afa-sonderabschreibung" xr:uid="{2DF59DAC-E9A3-491F-A69F-0C31CE320F11}"/>
    <hyperlink ref="B158" r:id="rId7" xr:uid="{EE37173C-F073-4BB2-918C-6CBEF7A70F9B}"/>
  </hyperlinks>
  <pageMargins left="0.7" right="0.7" top="0.78740157499999996" bottom="0.78740157499999996" header="0.3" footer="0.3"/>
  <pageSetup paperSize="9" orientation="portrait" r:id="rId8"/>
  <drawing r:id="rId9"/>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77"/>
  <sheetViews>
    <sheetView zoomScale="90" zoomScaleNormal="90" workbookViewId="0">
      <pane xSplit="2" ySplit="6" topLeftCell="C7" activePane="bottomRight" state="frozen"/>
      <selection pane="topRight" activeCell="C1" sqref="C1"/>
      <selection pane="bottomLeft" activeCell="A7" sqref="A7"/>
      <selection pane="bottomRight" activeCell="A7" sqref="A7"/>
    </sheetView>
  </sheetViews>
  <sheetFormatPr baseColWidth="10" defaultColWidth="11.6640625" defaultRowHeight="14.1" customHeight="1" outlineLevelCol="1"/>
  <cols>
    <col min="1" max="1" width="6.6640625" style="165" customWidth="1"/>
    <col min="2" max="2" width="10.88671875" style="165" customWidth="1"/>
    <col min="3" max="4" width="11.77734375" style="165" customWidth="1"/>
    <col min="5" max="6" width="10.21875" style="165" customWidth="1"/>
    <col min="7" max="7" width="9.77734375" style="165" customWidth="1"/>
    <col min="8" max="9" width="11.77734375" style="165" customWidth="1"/>
    <col min="10" max="10" width="11.6640625" style="165" customWidth="1"/>
    <col min="11" max="11" width="11.77734375" style="165" customWidth="1"/>
    <col min="12" max="12" width="9.77734375" style="165" customWidth="1" outlineLevel="1"/>
    <col min="13" max="13" width="9.33203125" style="165" customWidth="1" outlineLevel="1"/>
    <col min="14" max="16" width="11" style="165" customWidth="1" outlineLevel="1"/>
    <col min="17" max="18" width="12.6640625" style="165" customWidth="1" outlineLevel="1"/>
    <col min="19" max="19" width="12.6640625" style="165" customWidth="1"/>
    <col min="20" max="22" width="12.109375" style="165" customWidth="1"/>
    <col min="23" max="23" width="5.77734375" style="165" customWidth="1"/>
    <col min="24" max="24" width="14.33203125" style="165" customWidth="1"/>
    <col min="25" max="25" width="13.77734375" style="165" customWidth="1"/>
    <col min="26" max="26" width="12.109375" style="165" customWidth="1"/>
    <col min="27" max="27" width="13.21875" style="165" customWidth="1"/>
    <col min="28" max="28" width="12" style="165" customWidth="1"/>
    <col min="29" max="29" width="13.77734375" style="165" customWidth="1"/>
    <col min="30" max="30" width="12.33203125" style="165" customWidth="1"/>
    <col min="31" max="31" width="14.109375" style="165" customWidth="1"/>
    <col min="32" max="32" width="10.6640625" style="165" customWidth="1"/>
    <col min="33" max="33" width="4.6640625" style="165" customWidth="1"/>
    <col min="34" max="34" width="14.88671875" style="165" customWidth="1"/>
    <col min="35" max="35" width="16.77734375" style="165" customWidth="1"/>
    <col min="36" max="36" width="15.33203125" style="165" customWidth="1"/>
    <col min="37" max="37" width="13.6640625" style="165" customWidth="1"/>
    <col min="38" max="38" width="5.44140625" style="165" customWidth="1"/>
    <col min="39" max="39" width="17" style="300" customWidth="1" outlineLevel="1"/>
    <col min="40" max="40" width="18.109375" style="308" customWidth="1" outlineLevel="1"/>
    <col min="41" max="41" width="17.5546875" style="308" customWidth="1" outlineLevel="1"/>
    <col min="42" max="42" width="8.88671875" style="309" customWidth="1" outlineLevel="1"/>
    <col min="43" max="43" width="14.88671875" style="165" customWidth="1" outlineLevel="1"/>
    <col min="44" max="44" width="13.77734375" style="165" customWidth="1" outlineLevel="1"/>
    <col min="45" max="46" width="15.109375" style="179" customWidth="1" outlineLevel="1"/>
    <col min="47" max="47" width="15.6640625" style="165" customWidth="1" outlineLevel="1"/>
    <col min="48" max="48" width="7.77734375" style="165" customWidth="1" outlineLevel="1"/>
    <col min="49" max="49" width="17.21875" style="165" customWidth="1" outlineLevel="1"/>
    <col min="50" max="51" width="17.6640625" style="165" customWidth="1" outlineLevel="1"/>
    <col min="52" max="52" width="19.33203125" style="165" customWidth="1" outlineLevel="1"/>
    <col min="53" max="53" width="11.5546875" style="165" customWidth="1" outlineLevel="1"/>
    <col min="54" max="54" width="18.33203125" style="165" customWidth="1"/>
    <col min="55" max="259" width="11.5546875" style="165" customWidth="1"/>
    <col min="260" max="16384" width="11.6640625" style="165"/>
  </cols>
  <sheetData>
    <row r="1" spans="1:53" ht="14.1" customHeight="1" thickBot="1">
      <c r="A1" s="193" t="s">
        <v>376</v>
      </c>
      <c r="B1" s="160"/>
      <c r="C1" s="160"/>
      <c r="D1" s="160"/>
      <c r="E1" s="161"/>
      <c r="F1" s="161"/>
      <c r="G1" s="162"/>
      <c r="H1" s="162"/>
      <c r="I1" s="162"/>
      <c r="J1" s="193" t="s">
        <v>347</v>
      </c>
      <c r="K1" s="162"/>
      <c r="L1" s="162"/>
      <c r="M1" s="162"/>
      <c r="N1" s="162"/>
      <c r="O1" s="162"/>
      <c r="P1" s="162"/>
      <c r="Q1" s="162"/>
      <c r="S1" s="682" t="s">
        <v>558</v>
      </c>
      <c r="T1" s="683"/>
      <c r="U1" s="682" t="s">
        <v>558</v>
      </c>
      <c r="V1" s="683"/>
      <c r="X1" s="672" t="s">
        <v>356</v>
      </c>
      <c r="Y1" s="673"/>
      <c r="Z1" s="673"/>
      <c r="AA1" s="673"/>
      <c r="AB1" s="673"/>
      <c r="AC1" s="673"/>
      <c r="AD1" s="673"/>
      <c r="AE1" s="673"/>
      <c r="AG1" s="180"/>
      <c r="AH1" s="674" t="s">
        <v>357</v>
      </c>
      <c r="AI1" s="675"/>
      <c r="AJ1" s="675"/>
      <c r="AK1" s="676"/>
      <c r="AL1" s="180"/>
      <c r="AM1" s="659" t="s">
        <v>397</v>
      </c>
      <c r="AN1" s="660"/>
      <c r="AO1" s="661"/>
      <c r="AP1" s="302"/>
      <c r="AQ1" s="656" t="s">
        <v>358</v>
      </c>
      <c r="AR1" s="657"/>
      <c r="AS1" s="657"/>
      <c r="AT1" s="657"/>
      <c r="AU1" s="658"/>
      <c r="AW1" s="669" t="s">
        <v>373</v>
      </c>
      <c r="AX1" s="670"/>
      <c r="AY1" s="670"/>
      <c r="AZ1" s="671"/>
    </row>
    <row r="2" spans="1:53" ht="14.1" customHeight="1" thickBot="1">
      <c r="S2" s="684" t="s">
        <v>624</v>
      </c>
      <c r="T2" s="685"/>
      <c r="U2" s="684" t="s">
        <v>624</v>
      </c>
      <c r="V2" s="685"/>
      <c r="X2" s="518" t="s">
        <v>270</v>
      </c>
      <c r="Y2" s="480"/>
      <c r="Z2" s="481" t="s">
        <v>268</v>
      </c>
      <c r="AA2" s="480"/>
      <c r="AB2" s="480"/>
      <c r="AC2" s="482" t="s">
        <v>269</v>
      </c>
      <c r="AD2" s="480"/>
      <c r="AE2" s="483"/>
      <c r="AG2" s="180"/>
      <c r="AI2" s="215" t="s">
        <v>54</v>
      </c>
      <c r="AJ2" s="215" t="s">
        <v>54</v>
      </c>
      <c r="AK2" s="215" t="s">
        <v>55</v>
      </c>
      <c r="AL2" s="180"/>
      <c r="AM2" s="313" t="s">
        <v>398</v>
      </c>
      <c r="AN2" s="314" t="s">
        <v>48</v>
      </c>
      <c r="AO2" s="315" t="s">
        <v>301</v>
      </c>
      <c r="AP2" s="302"/>
      <c r="AQ2" s="529"/>
      <c r="AS2" s="213" t="s">
        <v>52</v>
      </c>
      <c r="AT2" s="196" t="s">
        <v>52</v>
      </c>
      <c r="AU2" s="530" t="s">
        <v>56</v>
      </c>
      <c r="AW2" s="202" t="s">
        <v>738</v>
      </c>
      <c r="AX2" s="202" t="s">
        <v>353</v>
      </c>
      <c r="AY2" s="263" t="s">
        <v>327</v>
      </c>
      <c r="AZ2" s="254" t="s">
        <v>353</v>
      </c>
    </row>
    <row r="3" spans="1:53" ht="14.1" customHeight="1" thickBot="1">
      <c r="A3" s="167"/>
      <c r="B3" s="168"/>
      <c r="C3" s="204"/>
      <c r="D3" s="677" t="s">
        <v>558</v>
      </c>
      <c r="E3" s="678"/>
      <c r="F3" s="678"/>
      <c r="G3" s="678"/>
      <c r="H3" s="678"/>
      <c r="I3" s="678"/>
      <c r="J3" s="678"/>
      <c r="K3" s="678"/>
      <c r="L3" s="679" t="s">
        <v>557</v>
      </c>
      <c r="M3" s="680"/>
      <c r="N3" s="680"/>
      <c r="O3" s="680"/>
      <c r="P3" s="680"/>
      <c r="Q3" s="680"/>
      <c r="R3" s="681"/>
      <c r="S3" s="542" t="s">
        <v>728</v>
      </c>
      <c r="T3" s="542" t="s">
        <v>728</v>
      </c>
      <c r="U3" s="542" t="s">
        <v>55</v>
      </c>
      <c r="V3" s="542" t="s">
        <v>724</v>
      </c>
      <c r="X3" s="519" t="s">
        <v>266</v>
      </c>
      <c r="Y3" s="235" t="s">
        <v>155</v>
      </c>
      <c r="Z3" s="662" t="str">
        <f>AfA_Art</f>
        <v>Linear 2%</v>
      </c>
      <c r="AA3" s="663"/>
      <c r="AB3" s="370" t="s">
        <v>439</v>
      </c>
      <c r="AC3" s="368" t="s">
        <v>444</v>
      </c>
      <c r="AD3" s="207" t="s">
        <v>467</v>
      </c>
      <c r="AE3" s="520" t="s">
        <v>62</v>
      </c>
      <c r="AG3" s="180"/>
      <c r="AI3" s="216" t="s">
        <v>64</v>
      </c>
      <c r="AJ3" s="216" t="s">
        <v>64</v>
      </c>
      <c r="AK3" s="216" t="s">
        <v>54</v>
      </c>
      <c r="AL3" s="180"/>
      <c r="AM3" s="316" t="s">
        <v>394</v>
      </c>
      <c r="AN3" s="315" t="s">
        <v>300</v>
      </c>
      <c r="AO3" s="315" t="s">
        <v>399</v>
      </c>
      <c r="AP3" s="302"/>
      <c r="AQ3" s="531" t="s">
        <v>374</v>
      </c>
      <c r="AR3" s="213" t="s">
        <v>374</v>
      </c>
      <c r="AS3" s="214" t="s">
        <v>65</v>
      </c>
      <c r="AT3" s="197" t="s">
        <v>65</v>
      </c>
      <c r="AU3" s="532" t="s">
        <v>66</v>
      </c>
      <c r="AW3" s="203" t="s">
        <v>737</v>
      </c>
      <c r="AX3" s="203" t="s">
        <v>359</v>
      </c>
      <c r="AY3" s="264" t="s">
        <v>362</v>
      </c>
      <c r="AZ3" s="255" t="s">
        <v>361</v>
      </c>
    </row>
    <row r="4" spans="1:53" ht="14.1" customHeight="1">
      <c r="A4" s="169"/>
      <c r="B4" s="170"/>
      <c r="C4" s="205"/>
      <c r="D4" s="471" t="s">
        <v>68</v>
      </c>
      <c r="E4" s="211" t="s">
        <v>57</v>
      </c>
      <c r="F4" s="207" t="s">
        <v>60</v>
      </c>
      <c r="G4" s="465" t="s">
        <v>70</v>
      </c>
      <c r="H4" s="354" t="s">
        <v>435</v>
      </c>
      <c r="I4" s="338" t="s">
        <v>59</v>
      </c>
      <c r="J4" s="466" t="s">
        <v>58</v>
      </c>
      <c r="K4" s="211" t="s">
        <v>619</v>
      </c>
      <c r="L4" s="503" t="s">
        <v>68</v>
      </c>
      <c r="M4" s="501" t="s">
        <v>57</v>
      </c>
      <c r="N4" s="501" t="s">
        <v>655</v>
      </c>
      <c r="O4" s="502" t="s">
        <v>556</v>
      </c>
      <c r="P4" s="501" t="s">
        <v>554</v>
      </c>
      <c r="Q4" s="501" t="s">
        <v>59</v>
      </c>
      <c r="R4" s="548" t="s">
        <v>58</v>
      </c>
      <c r="S4" s="484" t="s">
        <v>25</v>
      </c>
      <c r="T4" s="484" t="s">
        <v>729</v>
      </c>
      <c r="U4" s="484" t="s">
        <v>730</v>
      </c>
      <c r="V4" s="484" t="s">
        <v>727</v>
      </c>
      <c r="X4" s="519" t="s">
        <v>83</v>
      </c>
      <c r="Y4" s="235" t="s">
        <v>61</v>
      </c>
      <c r="Z4" s="224" t="s">
        <v>50</v>
      </c>
      <c r="AA4" s="206" t="s">
        <v>441</v>
      </c>
      <c r="AB4" s="370" t="s">
        <v>440</v>
      </c>
      <c r="AC4" s="368" t="s">
        <v>443</v>
      </c>
      <c r="AD4" s="207" t="s">
        <v>468</v>
      </c>
      <c r="AE4" s="465" t="s">
        <v>74</v>
      </c>
      <c r="AF4" s="206" t="s">
        <v>63</v>
      </c>
      <c r="AG4" s="180"/>
      <c r="AH4" s="248" t="s">
        <v>350</v>
      </c>
      <c r="AI4" s="216" t="s">
        <v>76</v>
      </c>
      <c r="AJ4" s="216" t="s">
        <v>76</v>
      </c>
      <c r="AK4" s="216" t="s">
        <v>77</v>
      </c>
      <c r="AL4" s="180"/>
      <c r="AM4" s="316" t="s">
        <v>400</v>
      </c>
      <c r="AN4" s="315" t="s">
        <v>401</v>
      </c>
      <c r="AO4" s="315" t="s">
        <v>402</v>
      </c>
      <c r="AP4" s="302"/>
      <c r="AQ4" s="533" t="s">
        <v>323</v>
      </c>
      <c r="AR4" s="214" t="s">
        <v>323</v>
      </c>
      <c r="AS4" s="214" t="s">
        <v>78</v>
      </c>
      <c r="AT4" s="197" t="s">
        <v>204</v>
      </c>
      <c r="AU4" s="532" t="s">
        <v>79</v>
      </c>
      <c r="AW4" s="203" t="s">
        <v>736</v>
      </c>
      <c r="AX4" s="203" t="s">
        <v>739</v>
      </c>
      <c r="AY4" s="264" t="s">
        <v>363</v>
      </c>
      <c r="AZ4" s="255" t="s">
        <v>365</v>
      </c>
    </row>
    <row r="5" spans="1:53" ht="14.1" customHeight="1">
      <c r="A5" s="200"/>
      <c r="B5" s="201"/>
      <c r="C5" s="467" t="s">
        <v>297</v>
      </c>
      <c r="D5" s="471" t="s">
        <v>612</v>
      </c>
      <c r="E5" s="211" t="s">
        <v>69</v>
      </c>
      <c r="F5" s="207" t="s">
        <v>71</v>
      </c>
      <c r="G5" s="465" t="s">
        <v>25</v>
      </c>
      <c r="H5" s="354" t="s">
        <v>59</v>
      </c>
      <c r="I5" s="338" t="s">
        <v>616</v>
      </c>
      <c r="J5" s="211" t="s">
        <v>59</v>
      </c>
      <c r="K5" s="211" t="s">
        <v>339</v>
      </c>
      <c r="L5" s="503" t="s">
        <v>553</v>
      </c>
      <c r="M5" s="501" t="s">
        <v>553</v>
      </c>
      <c r="N5" s="501" t="s">
        <v>553</v>
      </c>
      <c r="O5" s="502" t="s">
        <v>553</v>
      </c>
      <c r="P5" s="501" t="s">
        <v>567</v>
      </c>
      <c r="Q5" s="501" t="s">
        <v>723</v>
      </c>
      <c r="R5" s="549" t="s">
        <v>59</v>
      </c>
      <c r="S5" s="484" t="s">
        <v>443</v>
      </c>
      <c r="T5" s="484" t="s">
        <v>443</v>
      </c>
      <c r="U5" s="484" t="s">
        <v>443</v>
      </c>
      <c r="V5" s="484" t="s">
        <v>443</v>
      </c>
      <c r="X5" s="519" t="s">
        <v>322</v>
      </c>
      <c r="Y5" s="235" t="s">
        <v>72</v>
      </c>
      <c r="Z5" s="211" t="s">
        <v>73</v>
      </c>
      <c r="AA5" s="207" t="s">
        <v>50</v>
      </c>
      <c r="AB5" s="370" t="s">
        <v>50</v>
      </c>
      <c r="AC5" s="368" t="s">
        <v>445</v>
      </c>
      <c r="AD5" s="207" t="s">
        <v>469</v>
      </c>
      <c r="AE5" s="465" t="s">
        <v>87</v>
      </c>
      <c r="AF5" s="207" t="s">
        <v>75</v>
      </c>
      <c r="AG5" s="180"/>
      <c r="AH5" s="249" t="s">
        <v>271</v>
      </c>
      <c r="AI5" s="227" t="s">
        <v>223</v>
      </c>
      <c r="AJ5" s="227" t="s">
        <v>89</v>
      </c>
      <c r="AK5" s="227" t="s">
        <v>89</v>
      </c>
      <c r="AL5" s="180"/>
      <c r="AM5" s="316" t="s">
        <v>403</v>
      </c>
      <c r="AN5" s="315" t="s">
        <v>404</v>
      </c>
      <c r="AO5" s="316" t="s">
        <v>403</v>
      </c>
      <c r="AP5" s="302"/>
      <c r="AQ5" s="533" t="s">
        <v>324</v>
      </c>
      <c r="AR5" s="244" t="s">
        <v>50</v>
      </c>
      <c r="AS5" s="214" t="s">
        <v>90</v>
      </c>
      <c r="AT5" s="197" t="s">
        <v>314</v>
      </c>
      <c r="AU5" s="532" t="s">
        <v>91</v>
      </c>
      <c r="AW5" s="582">
        <f>Investment</f>
        <v>1148200</v>
      </c>
      <c r="AX5" s="203" t="s">
        <v>740</v>
      </c>
      <c r="AY5" s="264" t="s">
        <v>364</v>
      </c>
      <c r="AZ5" s="255" t="s">
        <v>53</v>
      </c>
    </row>
    <row r="6" spans="1:53" ht="15.6" customHeight="1" thickBot="1">
      <c r="A6" s="209" t="s">
        <v>340</v>
      </c>
      <c r="B6" s="171" t="s">
        <v>49</v>
      </c>
      <c r="C6" s="468" t="s">
        <v>298</v>
      </c>
      <c r="D6" s="471" t="s">
        <v>107</v>
      </c>
      <c r="E6" s="211" t="s">
        <v>25</v>
      </c>
      <c r="F6" s="207" t="s">
        <v>82</v>
      </c>
      <c r="G6" s="465" t="s">
        <v>81</v>
      </c>
      <c r="H6" s="355" t="s">
        <v>436</v>
      </c>
      <c r="I6" s="337" t="s">
        <v>107</v>
      </c>
      <c r="J6" s="212" t="s">
        <v>81</v>
      </c>
      <c r="K6" s="212" t="s">
        <v>107</v>
      </c>
      <c r="L6" s="503" t="s">
        <v>107</v>
      </c>
      <c r="M6" s="501" t="s">
        <v>107</v>
      </c>
      <c r="N6" s="501" t="s">
        <v>107</v>
      </c>
      <c r="O6" s="502" t="s">
        <v>107</v>
      </c>
      <c r="P6" s="501" t="s">
        <v>555</v>
      </c>
      <c r="Q6" s="501" t="s">
        <v>81</v>
      </c>
      <c r="R6" s="549" t="s">
        <v>81</v>
      </c>
      <c r="S6" s="485" t="s">
        <v>623</v>
      </c>
      <c r="T6" s="485" t="s">
        <v>69</v>
      </c>
      <c r="U6" s="485" t="s">
        <v>623</v>
      </c>
      <c r="V6" s="485" t="s">
        <v>623</v>
      </c>
      <c r="X6" s="521" t="s">
        <v>321</v>
      </c>
      <c r="Y6" s="236" t="s">
        <v>84</v>
      </c>
      <c r="Z6" s="211" t="s">
        <v>85</v>
      </c>
      <c r="AA6" s="207" t="s">
        <v>442</v>
      </c>
      <c r="AB6" s="371" t="s">
        <v>86</v>
      </c>
      <c r="AC6" s="368" t="s">
        <v>50</v>
      </c>
      <c r="AD6" s="188" t="s">
        <v>432</v>
      </c>
      <c r="AE6" s="527" t="s">
        <v>92</v>
      </c>
      <c r="AF6" s="208" t="s">
        <v>88</v>
      </c>
      <c r="AG6" s="180"/>
      <c r="AH6" s="249" t="s">
        <v>272</v>
      </c>
      <c r="AI6" s="216" t="s">
        <v>25</v>
      </c>
      <c r="AJ6" s="216" t="s">
        <v>25</v>
      </c>
      <c r="AK6" s="219" t="s">
        <v>25</v>
      </c>
      <c r="AL6" s="180"/>
      <c r="AM6" s="322">
        <f>Parameter!B81</f>
        <v>4.1759999999999999E-2</v>
      </c>
      <c r="AN6" s="317" t="s">
        <v>405</v>
      </c>
      <c r="AO6" s="322">
        <f>AM6</f>
        <v>4.1759999999999999E-2</v>
      </c>
      <c r="AP6" s="302"/>
      <c r="AQ6" s="534" t="s">
        <v>86</v>
      </c>
      <c r="AR6" s="245" t="s">
        <v>86</v>
      </c>
      <c r="AS6" s="237" t="s">
        <v>51</v>
      </c>
      <c r="AT6" s="198" t="s">
        <v>68</v>
      </c>
      <c r="AU6" s="535" t="s">
        <v>51</v>
      </c>
      <c r="AW6" s="266" t="s">
        <v>741</v>
      </c>
      <c r="AX6" s="203" t="s">
        <v>741</v>
      </c>
      <c r="AY6" s="265" t="s">
        <v>292</v>
      </c>
      <c r="AZ6" s="256" t="s">
        <v>360</v>
      </c>
      <c r="BA6" s="222" t="s">
        <v>49</v>
      </c>
    </row>
    <row r="7" spans="1:53" ht="21.6" customHeight="1">
      <c r="A7" s="171">
        <f>Start</f>
        <v>0</v>
      </c>
      <c r="B7" s="172" t="s">
        <v>646</v>
      </c>
      <c r="C7" s="469">
        <f>Eigenkapital</f>
        <v>100000</v>
      </c>
      <c r="D7" s="472">
        <f>AuszahungKredit1</f>
        <v>998200</v>
      </c>
      <c r="E7" s="225">
        <f>-Kreditzins1</f>
        <v>-2.8500000000000001E-2</v>
      </c>
      <c r="F7" s="208" t="s">
        <v>25</v>
      </c>
      <c r="G7" s="234"/>
      <c r="H7" s="357" t="s">
        <v>465</v>
      </c>
      <c r="I7" s="337" t="s">
        <v>644</v>
      </c>
      <c r="J7" s="175"/>
      <c r="K7" s="499"/>
      <c r="L7" s="477">
        <f>Förderkredit</f>
        <v>50000</v>
      </c>
      <c r="M7" s="544" t="s">
        <v>25</v>
      </c>
      <c r="N7" s="544" t="s">
        <v>25</v>
      </c>
      <c r="O7" s="544" t="s">
        <v>25</v>
      </c>
      <c r="P7" s="553" t="s">
        <v>651</v>
      </c>
      <c r="Q7" s="586" t="s">
        <v>780</v>
      </c>
      <c r="R7" s="550"/>
      <c r="S7" s="576"/>
      <c r="T7" s="577"/>
      <c r="U7" s="570"/>
      <c r="V7" s="571"/>
      <c r="X7" s="522"/>
      <c r="Y7" s="234"/>
      <c r="Z7" s="174"/>
      <c r="AA7" s="333"/>
      <c r="AB7" s="372" t="s">
        <v>465</v>
      </c>
      <c r="AC7" s="234"/>
      <c r="AD7" s="226">
        <f>AFABasis</f>
        <v>924560</v>
      </c>
      <c r="AE7" s="523" t="s">
        <v>352</v>
      </c>
      <c r="AF7" s="516"/>
      <c r="AG7" s="180"/>
      <c r="AH7" s="218"/>
      <c r="AI7" s="217">
        <f>Kreditbedarf+Förderkredit+Eigenkapital-Investment</f>
        <v>0</v>
      </c>
      <c r="AJ7" s="217"/>
      <c r="AK7" s="218"/>
      <c r="AL7" s="180"/>
      <c r="AM7" s="580" t="s">
        <v>89</v>
      </c>
      <c r="AN7" s="580" t="s">
        <v>89</v>
      </c>
      <c r="AO7" s="581" t="s">
        <v>89</v>
      </c>
      <c r="AP7" s="302"/>
      <c r="AQ7" s="536">
        <f>Grundstück</f>
        <v>200000</v>
      </c>
      <c r="AR7" s="246">
        <f>Gebäude+FittingUp</f>
        <v>840000</v>
      </c>
      <c r="AS7" s="238">
        <f>AQ7+AR7</f>
        <v>1040000</v>
      </c>
      <c r="AT7" s="199"/>
      <c r="AU7" s="537"/>
      <c r="AV7" s="568"/>
      <c r="AW7" s="262"/>
      <c r="AX7" s="266"/>
      <c r="AY7" s="257"/>
      <c r="AZ7" s="257"/>
      <c r="BA7" s="223" t="str">
        <f t="shared" ref="BA7:BA38" si="0">B7</f>
        <v>Start</v>
      </c>
    </row>
    <row r="8" spans="1:53" ht="14.1" customHeight="1">
      <c r="A8" s="171">
        <v>1</v>
      </c>
      <c r="B8" s="172">
        <f>YEAR(Parameter!B3)</f>
        <v>2026</v>
      </c>
      <c r="C8" s="470"/>
      <c r="D8" s="472">
        <f>D7</f>
        <v>998200</v>
      </c>
      <c r="E8" s="174">
        <f t="shared" ref="E8:E38" si="1">IF(A8&lt;=LaufzeitKredit1,-Kreditzins1,IF(A8&lt;=FinZeitraum,-Kreditzins2,0))</f>
        <v>-2.8500000000000001E-2</v>
      </c>
      <c r="F8" s="226">
        <f t="shared" ref="F8:F38" si="2">IF(A8&lt;=LaufzeitKredit1,-Annuität_Kredit_1_p.a.,IF(A8&lt;=FinZeitraum,-Annuität_Kredit_2_p.a.,0))</f>
        <v>-56370.63685151816</v>
      </c>
      <c r="G8" s="234">
        <f>D8*E8</f>
        <v>-28448.7</v>
      </c>
      <c r="H8" s="356">
        <v>0</v>
      </c>
      <c r="I8" s="173">
        <f>-F8+G8+H8</f>
        <v>27921.93685151816</v>
      </c>
      <c r="J8" s="173">
        <f>J7+I8</f>
        <v>27921.93685151816</v>
      </c>
      <c r="K8" s="225">
        <f>IF(D8&gt;0,-I8/D$8,0)</f>
        <v>-2.7972286968060669E-2</v>
      </c>
      <c r="L8" s="477">
        <f>Förderkredit</f>
        <v>50000</v>
      </c>
      <c r="M8" s="545">
        <f t="shared" ref="M8:M38" si="3">IF(A8&lt;=Förderzeit,-Förderzins,0)</f>
        <v>-2.8500000000000001E-2</v>
      </c>
      <c r="N8" s="543">
        <f t="shared" ref="N8:N38" si="4">IF(ISNUMBER(Annuität_Förderkredit),-Annuität_Förderkredit,0)*(A8&lt;=Förderzeit)</f>
        <v>-7077.8192732031939</v>
      </c>
      <c r="O8" s="234">
        <f t="shared" ref="O8:O13" si="5">IF(L8&gt;0,L8*M8,0)</f>
        <v>-1425</v>
      </c>
      <c r="P8" s="423">
        <f t="shared" ref="P8:P38" si="6">IF(A8&lt;=Anzahl_Tilgungszuschüsse,Tilgungszuschuss,0)</f>
        <v>1500</v>
      </c>
      <c r="Q8" s="423">
        <f>-N8+O8+P8</f>
        <v>7152.8192732031939</v>
      </c>
      <c r="R8" s="551">
        <f>Q8</f>
        <v>7152.8192732031939</v>
      </c>
      <c r="S8" s="578">
        <f>Q8+I8</f>
        <v>35074.756124721353</v>
      </c>
      <c r="T8" s="489">
        <f t="shared" ref="T8:T38" si="7">S8/(AuszahungKredit1+Förderkredit)</f>
        <v>3.3461892887541839E-2</v>
      </c>
      <c r="U8" s="572">
        <f>S8+U7</f>
        <v>35074.756124721353</v>
      </c>
      <c r="V8" s="573">
        <f>D8+L8</f>
        <v>1048200</v>
      </c>
      <c r="X8" s="522">
        <f>-Unterhaltskosten_p.a.-Instanhaltungskosten_am_Anfang</f>
        <v>-4564</v>
      </c>
      <c r="Y8" s="234">
        <f>Parameter!B40</f>
        <v>47040</v>
      </c>
      <c r="Z8" s="174">
        <f>IF(AfA_Art=AfA!B$15,VLOOKUP(A8,AfA_Tabelle,2),IF(AfA_Art=AfA!C$15,VLOOKUP(A8,AfA_Tabelle,3),IF(AfA_Art=AfA!D$15,VLOOKUP(A8,AfA_Tabelle,4),IF(AfA_Art=AfA!E$15,VLOOKUP(A8,AfA_Tabelle,5),IF(AfA_Art=AfA!F$15,VLOOKUP(A8,AfA_Tabelle,6),"tbd")))))</f>
        <v>0.02</v>
      </c>
      <c r="AA8" s="333">
        <f>IF(OR(AfA_Art=AfA!B$15,AfA_Art=AfA!C$15),-Z8*AD7,IF(OR(AfA_Art=AfA!D$15,AfA_Art=AfA!E$15,AfA_Art=AfA!F$15),AFABasis*-Z8,"check"))</f>
        <v>-18491.2</v>
      </c>
      <c r="AB8" s="373">
        <v>0</v>
      </c>
      <c r="AC8" s="234">
        <f>AA8+AB8</f>
        <v>-18491.2</v>
      </c>
      <c r="AD8" s="333">
        <f>IF(AD7+AC8&gt;=0,AD7+AC8,0)</f>
        <v>906068.8</v>
      </c>
      <c r="AE8" s="524">
        <f>Y8+X8+G8+O9+AC8-Disagio</f>
        <v>-5685.0446507137094</v>
      </c>
      <c r="AF8" s="517">
        <f t="shared" ref="AF8:AF38" si="8">-Grenzsteuersatz</f>
        <v>-0.42</v>
      </c>
      <c r="AG8" s="180"/>
      <c r="AH8" s="218">
        <f>AE8*AF8</f>
        <v>2387.7187532997577</v>
      </c>
      <c r="AI8" s="217">
        <f t="shared" ref="AI8:AI38" si="9">Y8+X8+F8+H8+N8+P8</f>
        <v>-19472.456124721353</v>
      </c>
      <c r="AJ8" s="217">
        <f t="shared" ref="AJ8:AJ36" si="10">AI8+AH8</f>
        <v>-17084.737371421594</v>
      </c>
      <c r="AK8" s="218">
        <f t="shared" ref="AK8:AK38" si="11">+AJ8+AK7</f>
        <v>-17084.737371421594</v>
      </c>
      <c r="AL8" s="180"/>
      <c r="AM8" s="318">
        <f>AJ8+(AJ8/2)*AM6</f>
        <v>-17441.466687736876</v>
      </c>
      <c r="AN8" s="319">
        <f>+U8+AK8</f>
        <v>17990.018753299759</v>
      </c>
      <c r="AO8" s="319">
        <f>+AM8+U8</f>
        <v>17633.289436984476</v>
      </c>
      <c r="AP8" s="302"/>
      <c r="AQ8" s="536">
        <f t="shared" ref="AQ8:AQ38" si="12">AQ7*(1+Wertzuwachst_des_Grundstücks_p.a.)</f>
        <v>202000</v>
      </c>
      <c r="AR8" s="246">
        <f t="shared" ref="AR8:AR38" si="13">AR7*(1-Wertverlust_des_Gebäudes_p.a.+Baukostensteigerung_p.a)</f>
        <v>844199.99999999988</v>
      </c>
      <c r="AS8" s="238">
        <f>AR8+AQ8</f>
        <v>1046199.9999999999</v>
      </c>
      <c r="AT8" s="199">
        <f>(AS8-V8)*(V8&gt;0)</f>
        <v>-2000.0000000001164</v>
      </c>
      <c r="AU8" s="537">
        <f t="shared" ref="AU8:AU37" si="14">AS8+AN8-Investment</f>
        <v>-84009.981246700278</v>
      </c>
      <c r="AV8" s="568"/>
      <c r="AW8" s="176">
        <f t="shared" ref="AW8:AW38" si="15">AU8/Investment</f>
        <v>-7.3166679364832149E-2</v>
      </c>
      <c r="AX8" s="176">
        <f>(1+AW8)^(1/A8)-1</f>
        <v>-7.3166679364832121E-2</v>
      </c>
      <c r="AY8" s="257">
        <f t="shared" ref="AY8:AY38" si="16">IF(Eigenkapital&gt;0,AU8/Eigenkapital,"n/a")</f>
        <v>-0.84009981246700283</v>
      </c>
      <c r="AZ8" s="374">
        <f t="shared" ref="AZ8:AZ38" si="17">IF(Eigenkapital&gt;0,(1+AY8)^(1/A8)-1,"n/a")</f>
        <v>-0.84009981246700283</v>
      </c>
      <c r="BA8" s="223">
        <f t="shared" si="0"/>
        <v>2026</v>
      </c>
    </row>
    <row r="9" spans="1:53" ht="14.1" customHeight="1">
      <c r="A9" s="171">
        <v>2</v>
      </c>
      <c r="B9" s="172">
        <f t="shared" ref="B9:B38" si="18">B8+1</f>
        <v>2027</v>
      </c>
      <c r="C9" s="470"/>
      <c r="D9" s="472">
        <f t="shared" ref="D9:D38" si="19">(A9&lt;=FinZeitraum)*(D8-I8)</f>
        <v>970278.06314848189</v>
      </c>
      <c r="E9" s="174">
        <f t="shared" si="1"/>
        <v>-2.8500000000000001E-2</v>
      </c>
      <c r="F9" s="173">
        <f t="shared" si="2"/>
        <v>-56370.63685151816</v>
      </c>
      <c r="G9" s="234">
        <f t="shared" ref="G9:G38" si="20">D9*E9</f>
        <v>-27652.924799731736</v>
      </c>
      <c r="H9" s="356">
        <v>0</v>
      </c>
      <c r="I9" s="173">
        <f>-F9+G9+H9</f>
        <v>28717.712051786424</v>
      </c>
      <c r="J9" s="173">
        <f t="shared" ref="J9:J37" si="21">J8+I9</f>
        <v>56639.64890330458</v>
      </c>
      <c r="K9" s="225">
        <f t="shared" ref="K9:K38" si="22">IF(D9&gt;0,-I9/D$8,0)</f>
        <v>-2.8769497146650395E-2</v>
      </c>
      <c r="L9" s="477">
        <f t="shared" ref="L9:L11" si="23">IF(L8-Q8&lt;0,0,L8-Q8)</f>
        <v>42847.180726796803</v>
      </c>
      <c r="M9" s="545">
        <f t="shared" si="3"/>
        <v>-2.8500000000000001E-2</v>
      </c>
      <c r="N9" s="543">
        <f t="shared" si="4"/>
        <v>-7077.8192732031939</v>
      </c>
      <c r="O9" s="234">
        <f t="shared" si="5"/>
        <v>-1221.1446507137089</v>
      </c>
      <c r="P9" s="423">
        <f t="shared" si="6"/>
        <v>1500</v>
      </c>
      <c r="Q9" s="423">
        <f t="shared" ref="Q9:Q38" si="24">-N9+O9+P9</f>
        <v>7356.674622489485</v>
      </c>
      <c r="R9" s="551">
        <f t="shared" ref="R9:R38" si="25">R8+Q9</f>
        <v>14509.493895692678</v>
      </c>
      <c r="S9" s="578">
        <f>Q9+I9</f>
        <v>36074.386674275913</v>
      </c>
      <c r="T9" s="489">
        <f t="shared" si="7"/>
        <v>3.4415556834836783E-2</v>
      </c>
      <c r="U9" s="572">
        <f t="shared" ref="U9:U38" si="26">S9+U8</f>
        <v>71149.142798997258</v>
      </c>
      <c r="V9" s="573">
        <f t="shared" ref="V9:V38" si="27">D9+L9</f>
        <v>1013125.2438752787</v>
      </c>
      <c r="X9" s="522">
        <f>-Unterhaltskosten_p.a.*(1+Unterhaltskostensteigerung)^2</f>
        <v>-2115.9225000000001</v>
      </c>
      <c r="Y9" s="234">
        <f t="shared" ref="Y9:Y38" si="28">Y8*(1+Mietpreissteigerung_p.a.)</f>
        <v>47628</v>
      </c>
      <c r="Z9" s="174">
        <f>IF(AfA_Art=AfA!B$15,VLOOKUP(A9,AfA_Tabelle,2),IF(AfA_Art=AfA!C$15,VLOOKUP(A9,AfA_Tabelle,3),IF(AfA_Art=AfA!D$15,VLOOKUP(A9,AfA_Tabelle,4),IF(AfA_Art=AfA!E$15,VLOOKUP(A9,AfA_Tabelle,5),IF(AfA_Art=AfA!F$15,VLOOKUP(A9,AfA_Tabelle,6),"tbd")))))</f>
        <v>0.02</v>
      </c>
      <c r="AA9" s="333">
        <f>IF(OR(AfA_Art=AfA!B$15,AfA_Art=AfA!C$15),-Z9*AD8,IF(OR(AfA_Art=AfA!D$15,AfA_Art=AfA!E$15,AfA_Art=AfA!F$15),AFABasis*-Z9,"check"))</f>
        <v>-18491.2</v>
      </c>
      <c r="AB9" s="373">
        <v>0</v>
      </c>
      <c r="AC9" s="234">
        <f>AA9+AB9</f>
        <v>-18491.2</v>
      </c>
      <c r="AD9" s="333">
        <f t="shared" ref="AD9:AD12" si="29">IF(AD8+AC9&gt;=0,AD8+AC9,0)</f>
        <v>887577.60000000009</v>
      </c>
      <c r="AE9" s="524">
        <f>Y9+X9+G9+O9+AC9</f>
        <v>-1853.1919504454454</v>
      </c>
      <c r="AF9" s="517">
        <f t="shared" si="8"/>
        <v>-0.42</v>
      </c>
      <c r="AG9" s="180"/>
      <c r="AH9" s="218">
        <f>AE9*AF9</f>
        <v>778.34061918708699</v>
      </c>
      <c r="AI9" s="217">
        <f t="shared" si="9"/>
        <v>-16436.378624721354</v>
      </c>
      <c r="AJ9" s="217">
        <f t="shared" si="10"/>
        <v>-15658.038005534267</v>
      </c>
      <c r="AK9" s="218">
        <f t="shared" si="11"/>
        <v>-32742.775376955862</v>
      </c>
      <c r="AL9" s="180"/>
      <c r="AM9" s="318">
        <f t="shared" ref="AM9:AM38" si="30">AM8*(1+AM$6)+(AJ9/2)*AM$6+AJ9</f>
        <v>-34154.800175706594</v>
      </c>
      <c r="AN9" s="319">
        <f t="shared" ref="AN9:AN38" si="31">+U9+AK9</f>
        <v>38406.367422041396</v>
      </c>
      <c r="AO9" s="319">
        <f t="shared" ref="AO9:AO38" si="32">+AM9+U9</f>
        <v>36994.342623290664</v>
      </c>
      <c r="AP9" s="302"/>
      <c r="AQ9" s="536">
        <f t="shared" si="12"/>
        <v>204020</v>
      </c>
      <c r="AR9" s="246">
        <f t="shared" si="13"/>
        <v>848420.99999999977</v>
      </c>
      <c r="AS9" s="238">
        <f>AR9+AQ9</f>
        <v>1052440.9999999998</v>
      </c>
      <c r="AT9" s="199">
        <f t="shared" ref="AT9:AT38" si="33">(AS9-V9)*(V9&gt;0)</f>
        <v>39315.756124721025</v>
      </c>
      <c r="AU9" s="537">
        <f t="shared" si="14"/>
        <v>-57352.63257795875</v>
      </c>
      <c r="AV9" s="568"/>
      <c r="AW9" s="176">
        <f t="shared" si="15"/>
        <v>-4.9950037082353904E-2</v>
      </c>
      <c r="AX9" s="176">
        <f t="shared" ref="AX9:AX38" si="34">(1+AW9)^(1/A9)-1</f>
        <v>-2.5294935420131281E-2</v>
      </c>
      <c r="AY9" s="257">
        <f t="shared" si="16"/>
        <v>-0.57352632577958751</v>
      </c>
      <c r="AZ9" s="374">
        <f t="shared" si="17"/>
        <v>-0.34695048103500414</v>
      </c>
      <c r="BA9" s="223">
        <f t="shared" si="0"/>
        <v>2027</v>
      </c>
    </row>
    <row r="10" spans="1:53" ht="14.1" customHeight="1">
      <c r="A10" s="171">
        <v>3</v>
      </c>
      <c r="B10" s="172">
        <f t="shared" si="18"/>
        <v>2028</v>
      </c>
      <c r="C10" s="470"/>
      <c r="D10" s="472">
        <f t="shared" si="19"/>
        <v>941560.35109669552</v>
      </c>
      <c r="E10" s="174">
        <f t="shared" si="1"/>
        <v>-2.8500000000000001E-2</v>
      </c>
      <c r="F10" s="173">
        <f t="shared" si="2"/>
        <v>-56370.63685151816</v>
      </c>
      <c r="G10" s="234">
        <f t="shared" si="20"/>
        <v>-26834.470006255822</v>
      </c>
      <c r="H10" s="356">
        <v>0</v>
      </c>
      <c r="I10" s="173">
        <f t="shared" ref="I10:I38" si="35">-F10+G10+H10</f>
        <v>29536.166845262338</v>
      </c>
      <c r="J10" s="173">
        <f t="shared" si="21"/>
        <v>86175.815748566922</v>
      </c>
      <c r="K10" s="225">
        <f t="shared" si="22"/>
        <v>-2.9589427815329934E-2</v>
      </c>
      <c r="L10" s="477">
        <f t="shared" si="23"/>
        <v>35490.506104307322</v>
      </c>
      <c r="M10" s="545">
        <f t="shared" si="3"/>
        <v>-2.8500000000000001E-2</v>
      </c>
      <c r="N10" s="543">
        <f t="shared" si="4"/>
        <v>-7077.8192732031939</v>
      </c>
      <c r="O10" s="234">
        <f t="shared" si="5"/>
        <v>-1011.4794239727587</v>
      </c>
      <c r="P10" s="423">
        <f t="shared" si="6"/>
        <v>1500</v>
      </c>
      <c r="Q10" s="423">
        <f t="shared" si="24"/>
        <v>7566.339849230435</v>
      </c>
      <c r="R10" s="551">
        <f t="shared" si="25"/>
        <v>22075.833744923111</v>
      </c>
      <c r="S10" s="578">
        <f t="shared" ref="S10:S38" si="36">Q10+I10</f>
        <v>37102.506694492775</v>
      </c>
      <c r="T10" s="489">
        <f t="shared" si="7"/>
        <v>3.5396400204629627E-2</v>
      </c>
      <c r="U10" s="572">
        <f t="shared" si="26"/>
        <v>108251.64949349003</v>
      </c>
      <c r="V10" s="573">
        <f t="shared" si="27"/>
        <v>977050.85720100289</v>
      </c>
      <c r="X10" s="522">
        <f t="shared" ref="X10:X38" si="37">X9*(1+Unterhaltskostensteigerung)</f>
        <v>-2142.3715312499999</v>
      </c>
      <c r="Y10" s="234">
        <f>Y9*(1+Mietpreissteigerung_p.a.)</f>
        <v>48223.35</v>
      </c>
      <c r="Z10" s="174">
        <f>IF(AfA_Art=AfA!B$15,VLOOKUP(A10,AfA_Tabelle,2),IF(AfA_Art=AfA!C$15,VLOOKUP(A10,AfA_Tabelle,3),IF(AfA_Art=AfA!D$15,VLOOKUP(A10,AfA_Tabelle,4),IF(AfA_Art=AfA!E$15,VLOOKUP(A10,AfA_Tabelle,5),IF(AfA_Art=AfA!F$15,VLOOKUP(A10,AfA_Tabelle,6),"tbd")))))</f>
        <v>0.02</v>
      </c>
      <c r="AA10" s="333">
        <f>IF(OR(AfA_Art=AfA!B$15,AfA_Art=AfA!C$15),-Z10*AD9,IF(OR(AfA_Art=AfA!D$15,AfA_Art=AfA!E$15,AfA_Art=AfA!F$15),AFABasis*-Z10,"check"))</f>
        <v>-18491.2</v>
      </c>
      <c r="AB10" s="373">
        <v>0</v>
      </c>
      <c r="AC10" s="234">
        <f t="shared" ref="AC10:AC38" si="38">AA10+AB10</f>
        <v>-18491.2</v>
      </c>
      <c r="AD10" s="333">
        <f t="shared" si="29"/>
        <v>869086.40000000014</v>
      </c>
      <c r="AE10" s="524">
        <f t="shared" ref="AE10:AE38" si="39">Y10+X10+G10+O10+AC10</f>
        <v>-256.17096147858319</v>
      </c>
      <c r="AF10" s="517">
        <f t="shared" si="8"/>
        <v>-0.42</v>
      </c>
      <c r="AG10" s="180"/>
      <c r="AH10" s="218">
        <f t="shared" ref="AH10:AH38" si="40">AE10*AF10</f>
        <v>107.59180382100494</v>
      </c>
      <c r="AI10" s="217">
        <f t="shared" si="9"/>
        <v>-15867.477655971354</v>
      </c>
      <c r="AJ10" s="217">
        <f t="shared" si="10"/>
        <v>-15759.885852150348</v>
      </c>
      <c r="AK10" s="218">
        <f t="shared" si="11"/>
        <v>-48502.661229106212</v>
      </c>
      <c r="AL10" s="180"/>
      <c r="AM10" s="318">
        <f t="shared" si="30"/>
        <v>-51670.056899787349</v>
      </c>
      <c r="AN10" s="319">
        <f t="shared" si="31"/>
        <v>59748.988264383814</v>
      </c>
      <c r="AO10" s="319">
        <f t="shared" si="32"/>
        <v>56581.592593702677</v>
      </c>
      <c r="AP10" s="302"/>
      <c r="AQ10" s="536">
        <f t="shared" si="12"/>
        <v>206060.2</v>
      </c>
      <c r="AR10" s="246">
        <f t="shared" si="13"/>
        <v>852663.10499999963</v>
      </c>
      <c r="AS10" s="238">
        <f t="shared" ref="AS10:AS38" si="41">AR10+AQ10</f>
        <v>1058723.3049999997</v>
      </c>
      <c r="AT10" s="199">
        <f t="shared" si="33"/>
        <v>81672.447798996815</v>
      </c>
      <c r="AU10" s="537">
        <f t="shared" si="14"/>
        <v>-29727.70673561655</v>
      </c>
      <c r="AV10" s="568"/>
      <c r="AW10" s="176">
        <f t="shared" si="15"/>
        <v>-2.5890704350824377E-2</v>
      </c>
      <c r="AX10" s="176">
        <f t="shared" si="34"/>
        <v>-8.7058058992212084E-3</v>
      </c>
      <c r="AY10" s="257">
        <f t="shared" si="16"/>
        <v>-0.29727706735616549</v>
      </c>
      <c r="AZ10" s="374">
        <f t="shared" si="17"/>
        <v>-0.11094620079502071</v>
      </c>
      <c r="BA10" s="223">
        <f t="shared" si="0"/>
        <v>2028</v>
      </c>
    </row>
    <row r="11" spans="1:53" ht="14.1" customHeight="1">
      <c r="A11" s="171">
        <v>4</v>
      </c>
      <c r="B11" s="172">
        <f t="shared" si="18"/>
        <v>2029</v>
      </c>
      <c r="C11" s="470"/>
      <c r="D11" s="472">
        <f t="shared" si="19"/>
        <v>912024.18425143324</v>
      </c>
      <c r="E11" s="174">
        <f t="shared" si="1"/>
        <v>-2.8500000000000001E-2</v>
      </c>
      <c r="F11" s="173">
        <f t="shared" si="2"/>
        <v>-56370.63685151816</v>
      </c>
      <c r="G11" s="234">
        <f t="shared" si="20"/>
        <v>-25992.689251165848</v>
      </c>
      <c r="H11" s="356">
        <v>0</v>
      </c>
      <c r="I11" s="173">
        <f>-F11+G11-H11</f>
        <v>30377.947600352312</v>
      </c>
      <c r="J11" s="173">
        <f t="shared" si="21"/>
        <v>116553.76334891924</v>
      </c>
      <c r="K11" s="225">
        <f t="shared" si="22"/>
        <v>-3.0432726508066832E-2</v>
      </c>
      <c r="L11" s="477">
        <f t="shared" si="23"/>
        <v>27924.166255076889</v>
      </c>
      <c r="M11" s="545">
        <f t="shared" si="3"/>
        <v>-2.8500000000000001E-2</v>
      </c>
      <c r="N11" s="543">
        <f t="shared" si="4"/>
        <v>-7077.8192732031939</v>
      </c>
      <c r="O11" s="234">
        <f t="shared" si="5"/>
        <v>-795.83873826969136</v>
      </c>
      <c r="P11" s="423">
        <f t="shared" si="6"/>
        <v>1500</v>
      </c>
      <c r="Q11" s="423">
        <f t="shared" si="24"/>
        <v>7781.9805349335029</v>
      </c>
      <c r="R11" s="551">
        <f t="shared" si="25"/>
        <v>29857.814279856615</v>
      </c>
      <c r="S11" s="578">
        <f t="shared" si="36"/>
        <v>38159.928135285816</v>
      </c>
      <c r="T11" s="489">
        <f t="shared" si="7"/>
        <v>3.640519761046157E-2</v>
      </c>
      <c r="U11" s="572">
        <f t="shared" si="26"/>
        <v>146411.57762877585</v>
      </c>
      <c r="V11" s="573">
        <f t="shared" si="27"/>
        <v>939948.35050651012</v>
      </c>
      <c r="X11" s="522">
        <f t="shared" si="37"/>
        <v>-2169.1511753906248</v>
      </c>
      <c r="Y11" s="234">
        <f t="shared" si="28"/>
        <v>48826.141874999994</v>
      </c>
      <c r="Z11" s="174">
        <f>IF(AfA_Art=AfA!B$15,VLOOKUP(A11,AfA_Tabelle,2),IF(AfA_Art=AfA!C$15,VLOOKUP(A11,AfA_Tabelle,3),IF(AfA_Art=AfA!D$15,VLOOKUP(A11,AfA_Tabelle,4),IF(AfA_Art=AfA!E$15,VLOOKUP(A11,AfA_Tabelle,5),IF(AfA_Art=AfA!F$15,VLOOKUP(A11,AfA_Tabelle,6),"tbd")))))</f>
        <v>0.02</v>
      </c>
      <c r="AA11" s="333">
        <f>IF(OR(AfA_Art=AfA!B$15,AfA_Art=AfA!C$15),-Z11*AD10,IF(OR(AfA_Art=AfA!D$15,AfA_Art=AfA!E$15,AfA_Art=AfA!F$15),AFABasis*-Z11,"check"))</f>
        <v>-18491.2</v>
      </c>
      <c r="AB11" s="373">
        <v>0</v>
      </c>
      <c r="AC11" s="234">
        <f t="shared" si="38"/>
        <v>-18491.2</v>
      </c>
      <c r="AD11" s="333">
        <f t="shared" si="29"/>
        <v>850595.20000000019</v>
      </c>
      <c r="AE11" s="524">
        <f t="shared" si="39"/>
        <v>1377.262710173829</v>
      </c>
      <c r="AF11" s="517">
        <f t="shared" si="8"/>
        <v>-0.42</v>
      </c>
      <c r="AG11" s="180"/>
      <c r="AH11" s="218">
        <f t="shared" si="40"/>
        <v>-578.45033827300813</v>
      </c>
      <c r="AI11" s="217">
        <f t="shared" si="9"/>
        <v>-15291.465425111983</v>
      </c>
      <c r="AJ11" s="217">
        <f t="shared" si="10"/>
        <v>-15869.91576338499</v>
      </c>
      <c r="AK11" s="218">
        <f t="shared" si="11"/>
        <v>-64372.576992491202</v>
      </c>
      <c r="AL11" s="180"/>
      <c r="AM11" s="318">
        <f t="shared" si="30"/>
        <v>-70029.07808044694</v>
      </c>
      <c r="AN11" s="319">
        <f t="shared" si="31"/>
        <v>82039.000636284647</v>
      </c>
      <c r="AO11" s="319">
        <f t="shared" si="32"/>
        <v>76382.499548328909</v>
      </c>
      <c r="AP11" s="302"/>
      <c r="AQ11" s="536">
        <f t="shared" si="12"/>
        <v>208120.80200000003</v>
      </c>
      <c r="AR11" s="246">
        <f t="shared" si="13"/>
        <v>856926.4205249995</v>
      </c>
      <c r="AS11" s="238">
        <f t="shared" si="41"/>
        <v>1065047.2225249996</v>
      </c>
      <c r="AT11" s="199">
        <f t="shared" si="33"/>
        <v>125098.87201848952</v>
      </c>
      <c r="AU11" s="537">
        <f t="shared" si="14"/>
        <v>-1113.7768387156539</v>
      </c>
      <c r="AV11" s="568"/>
      <c r="AW11" s="176">
        <f t="shared" si="15"/>
        <v>-9.7001989088630366E-4</v>
      </c>
      <c r="AX11" s="176">
        <f t="shared" si="34"/>
        <v>-2.4259323566244717E-4</v>
      </c>
      <c r="AY11" s="257">
        <f t="shared" si="16"/>
        <v>-1.1137768387156539E-2</v>
      </c>
      <c r="AZ11" s="374">
        <f t="shared" si="17"/>
        <v>-2.7961479152939228E-3</v>
      </c>
      <c r="BA11" s="223">
        <f t="shared" si="0"/>
        <v>2029</v>
      </c>
    </row>
    <row r="12" spans="1:53" ht="14.1" customHeight="1">
      <c r="A12" s="171">
        <v>5</v>
      </c>
      <c r="B12" s="172">
        <f t="shared" si="18"/>
        <v>2030</v>
      </c>
      <c r="C12" s="470"/>
      <c r="D12" s="472">
        <f t="shared" si="19"/>
        <v>881646.23665108089</v>
      </c>
      <c r="E12" s="174">
        <f t="shared" si="1"/>
        <v>-2.8500000000000001E-2</v>
      </c>
      <c r="F12" s="173">
        <f t="shared" si="2"/>
        <v>-56370.63685151816</v>
      </c>
      <c r="G12" s="234">
        <f t="shared" si="20"/>
        <v>-25126.917744555805</v>
      </c>
      <c r="H12" s="356">
        <v>0</v>
      </c>
      <c r="I12" s="173">
        <f t="shared" si="35"/>
        <v>31243.719106962355</v>
      </c>
      <c r="J12" s="173">
        <f t="shared" si="21"/>
        <v>147797.4824558816</v>
      </c>
      <c r="K12" s="225">
        <f t="shared" si="22"/>
        <v>-3.1300059213546741E-2</v>
      </c>
      <c r="L12" s="477">
        <f>IF(L11-Q11&lt;0,0,L11-Q11)</f>
        <v>20142.185720143385</v>
      </c>
      <c r="M12" s="545">
        <f t="shared" si="3"/>
        <v>-2.8500000000000001E-2</v>
      </c>
      <c r="N12" s="543">
        <f t="shared" si="4"/>
        <v>-7077.8192732031939</v>
      </c>
      <c r="O12" s="234">
        <f t="shared" si="5"/>
        <v>-574.05229302408645</v>
      </c>
      <c r="P12" s="423">
        <f t="shared" si="6"/>
        <v>1500</v>
      </c>
      <c r="Q12" s="423">
        <f t="shared" si="24"/>
        <v>8003.7669801791071</v>
      </c>
      <c r="R12" s="551">
        <f t="shared" si="25"/>
        <v>37861.581260035724</v>
      </c>
      <c r="S12" s="578">
        <f t="shared" si="36"/>
        <v>39247.486087141464</v>
      </c>
      <c r="T12" s="489">
        <f t="shared" si="7"/>
        <v>3.7442745742359722E-2</v>
      </c>
      <c r="U12" s="572">
        <f t="shared" si="26"/>
        <v>185659.06371591732</v>
      </c>
      <c r="V12" s="573">
        <f t="shared" si="27"/>
        <v>901788.42237122427</v>
      </c>
      <c r="X12" s="522">
        <f t="shared" si="37"/>
        <v>-2196.2655650830075</v>
      </c>
      <c r="Y12" s="234">
        <f t="shared" si="28"/>
        <v>49436.468648437491</v>
      </c>
      <c r="Z12" s="174">
        <f>IF(AfA_Art=AfA!B$15,VLOOKUP(A12,AfA_Tabelle,2),IF(AfA_Art=AfA!C$15,VLOOKUP(A12,AfA_Tabelle,3),IF(AfA_Art=AfA!D$15,VLOOKUP(A12,AfA_Tabelle,4),IF(AfA_Art=AfA!E$15,VLOOKUP(A12,AfA_Tabelle,5),IF(AfA_Art=AfA!F$15,VLOOKUP(A12,AfA_Tabelle,6),"tbd")))))</f>
        <v>0.02</v>
      </c>
      <c r="AA12" s="333">
        <f>IF(OR(AfA_Art=AfA!B$15,AfA_Art=AfA!C$15),-Z12*AD11,IF(OR(AfA_Art=AfA!D$15,AfA_Art=AfA!E$15,AfA_Art=AfA!F$15),AFABasis*-Z12,"check"))</f>
        <v>-18491.2</v>
      </c>
      <c r="AB12" s="373">
        <v>0</v>
      </c>
      <c r="AC12" s="234">
        <f t="shared" si="38"/>
        <v>-18491.2</v>
      </c>
      <c r="AD12" s="333">
        <f t="shared" si="29"/>
        <v>832104.00000000023</v>
      </c>
      <c r="AE12" s="524">
        <f t="shared" si="39"/>
        <v>3048.0330457745913</v>
      </c>
      <c r="AF12" s="517">
        <f t="shared" si="8"/>
        <v>-0.42</v>
      </c>
      <c r="AG12" s="180"/>
      <c r="AH12" s="218">
        <f t="shared" si="40"/>
        <v>-1280.1738792253284</v>
      </c>
      <c r="AI12" s="217">
        <f t="shared" si="9"/>
        <v>-14708.253041366868</v>
      </c>
      <c r="AJ12" s="217">
        <f t="shared" si="10"/>
        <v>-15988.426920592197</v>
      </c>
      <c r="AK12" s="218">
        <f t="shared" si="11"/>
        <v>-80361.003913083405</v>
      </c>
      <c r="AL12" s="180"/>
      <c r="AM12" s="318">
        <f t="shared" si="30"/>
        <v>-89275.757655780573</v>
      </c>
      <c r="AN12" s="319">
        <f t="shared" si="31"/>
        <v>105298.05980283392</v>
      </c>
      <c r="AO12" s="319">
        <f t="shared" si="32"/>
        <v>96383.306060136747</v>
      </c>
      <c r="AP12" s="302"/>
      <c r="AQ12" s="536">
        <f t="shared" si="12"/>
        <v>210202.01002000002</v>
      </c>
      <c r="AR12" s="246">
        <f t="shared" si="13"/>
        <v>861211.05262762436</v>
      </c>
      <c r="AS12" s="238">
        <f t="shared" si="41"/>
        <v>1071413.0626476244</v>
      </c>
      <c r="AT12" s="199">
        <f t="shared" si="33"/>
        <v>169624.64027640014</v>
      </c>
      <c r="AU12" s="537">
        <f t="shared" si="14"/>
        <v>28511.122450458352</v>
      </c>
      <c r="AV12" s="568"/>
      <c r="AW12" s="176">
        <f t="shared" si="15"/>
        <v>2.483114653410412E-2</v>
      </c>
      <c r="AX12" s="176">
        <f t="shared" si="34"/>
        <v>4.9176248077535956E-3</v>
      </c>
      <c r="AY12" s="257">
        <f t="shared" si="16"/>
        <v>0.28511122450458354</v>
      </c>
      <c r="AZ12" s="374">
        <f t="shared" si="17"/>
        <v>5.1448833116839454E-2</v>
      </c>
      <c r="BA12" s="223">
        <f t="shared" si="0"/>
        <v>2030</v>
      </c>
    </row>
    <row r="13" spans="1:53" ht="14.1" customHeight="1">
      <c r="A13" s="171">
        <v>6</v>
      </c>
      <c r="B13" s="172">
        <f t="shared" si="18"/>
        <v>2031</v>
      </c>
      <c r="C13" s="470"/>
      <c r="D13" s="472">
        <f t="shared" si="19"/>
        <v>850402.51754411857</v>
      </c>
      <c r="E13" s="174">
        <f t="shared" si="1"/>
        <v>-2.8500000000000001E-2</v>
      </c>
      <c r="F13" s="173">
        <f t="shared" si="2"/>
        <v>-56370.63685151816</v>
      </c>
      <c r="G13" s="234">
        <f t="shared" si="20"/>
        <v>-24236.471750007378</v>
      </c>
      <c r="H13" s="356">
        <v>0</v>
      </c>
      <c r="I13" s="173">
        <f t="shared" si="35"/>
        <v>32134.165101510782</v>
      </c>
      <c r="J13" s="173">
        <f t="shared" si="21"/>
        <v>179931.6475573924</v>
      </c>
      <c r="K13" s="225">
        <f t="shared" si="22"/>
        <v>-3.2192110901132824E-2</v>
      </c>
      <c r="L13" s="477">
        <f>IF(L12-Q12&lt;0,0,L12-Q12)</f>
        <v>12138.418739964278</v>
      </c>
      <c r="M13" s="545">
        <f t="shared" si="3"/>
        <v>-2.8500000000000001E-2</v>
      </c>
      <c r="N13" s="543">
        <f t="shared" si="4"/>
        <v>-7077.8192732031939</v>
      </c>
      <c r="O13" s="234">
        <f t="shared" si="5"/>
        <v>-345.94493408898194</v>
      </c>
      <c r="P13" s="423">
        <f t="shared" si="6"/>
        <v>0</v>
      </c>
      <c r="Q13" s="423">
        <f t="shared" si="24"/>
        <v>6731.8743391142116</v>
      </c>
      <c r="R13" s="551">
        <f t="shared" si="25"/>
        <v>44593.455599149936</v>
      </c>
      <c r="S13" s="578">
        <f t="shared" si="36"/>
        <v>38866.039440624991</v>
      </c>
      <c r="T13" s="489">
        <f t="shared" si="7"/>
        <v>3.7078839382393619E-2</v>
      </c>
      <c r="U13" s="572">
        <f t="shared" si="26"/>
        <v>224525.10315654232</v>
      </c>
      <c r="V13" s="573">
        <f t="shared" si="27"/>
        <v>862540.93628408283</v>
      </c>
      <c r="X13" s="522">
        <f t="shared" si="37"/>
        <v>-2223.7188846465451</v>
      </c>
      <c r="Y13" s="234">
        <f t="shared" si="28"/>
        <v>50054.424506542957</v>
      </c>
      <c r="Z13" s="174">
        <f>IF(AfA_Art=AfA!B$15,VLOOKUP(A13,AfA_Tabelle,2),IF(AfA_Art=AfA!C$15,VLOOKUP(A13,AfA_Tabelle,3),IF(AfA_Art=AfA!D$15,VLOOKUP(A13,AfA_Tabelle,4),IF(AfA_Art=AfA!E$15,VLOOKUP(A13,AfA_Tabelle,5),IF(AfA_Art=AfA!F$15,VLOOKUP(A13,AfA_Tabelle,6),"tbd")))))</f>
        <v>0.02</v>
      </c>
      <c r="AA13" s="333">
        <f>IF(OR(AfA_Art=AfA!B$15,AfA_Art=AfA!C$15),-Z13*AD12,IF(OR(AfA_Art=AfA!D$15,AfA_Art=AfA!E$15,AfA_Art=AfA!F$15),AFABasis*-Z13,"check"))</f>
        <v>-18491.2</v>
      </c>
      <c r="AB13" s="373">
        <v>0</v>
      </c>
      <c r="AC13" s="234">
        <f t="shared" si="38"/>
        <v>-18491.2</v>
      </c>
      <c r="AD13" s="333">
        <f>IF(AD12+AC13&gt;=0,AD12+AC13,0)</f>
        <v>813612.80000000028</v>
      </c>
      <c r="AE13" s="524">
        <f t="shared" si="39"/>
        <v>4757.0889378000538</v>
      </c>
      <c r="AF13" s="517">
        <f t="shared" si="8"/>
        <v>-0.42</v>
      </c>
      <c r="AG13" s="180"/>
      <c r="AH13" s="218">
        <f t="shared" si="40"/>
        <v>-1997.9773538760226</v>
      </c>
      <c r="AI13" s="217">
        <f t="shared" si="9"/>
        <v>-15617.75050282494</v>
      </c>
      <c r="AJ13" s="217">
        <f t="shared" si="10"/>
        <v>-17615.727856700963</v>
      </c>
      <c r="AK13" s="218">
        <f t="shared" si="11"/>
        <v>-97976.731769784368</v>
      </c>
      <c r="AL13" s="180"/>
      <c r="AM13" s="318">
        <f t="shared" si="30"/>
        <v>-110987.45754983484</v>
      </c>
      <c r="AN13" s="319">
        <f t="shared" si="31"/>
        <v>126548.37138675795</v>
      </c>
      <c r="AO13" s="319">
        <f t="shared" si="32"/>
        <v>113537.64560670748</v>
      </c>
      <c r="AP13" s="302"/>
      <c r="AQ13" s="536">
        <f t="shared" si="12"/>
        <v>212304.03012020001</v>
      </c>
      <c r="AR13" s="246">
        <f t="shared" si="13"/>
        <v>865517.10789076239</v>
      </c>
      <c r="AS13" s="238">
        <f t="shared" si="41"/>
        <v>1077821.1380109624</v>
      </c>
      <c r="AT13" s="199">
        <f t="shared" si="33"/>
        <v>215280.20172687958</v>
      </c>
      <c r="AU13" s="537">
        <f t="shared" si="14"/>
        <v>56169.509397720452</v>
      </c>
      <c r="AW13" s="176">
        <f t="shared" si="15"/>
        <v>4.8919621492527827E-2</v>
      </c>
      <c r="AX13" s="176">
        <f t="shared" si="34"/>
        <v>7.991883053656279E-3</v>
      </c>
      <c r="AY13" s="257">
        <f t="shared" si="16"/>
        <v>0.56169509397720452</v>
      </c>
      <c r="AZ13" s="374">
        <f t="shared" si="17"/>
        <v>7.7124838893877889E-2</v>
      </c>
      <c r="BA13" s="223">
        <f t="shared" si="0"/>
        <v>2031</v>
      </c>
    </row>
    <row r="14" spans="1:53" ht="14.1" customHeight="1">
      <c r="A14" s="171">
        <v>7</v>
      </c>
      <c r="B14" s="172">
        <f t="shared" si="18"/>
        <v>2032</v>
      </c>
      <c r="C14" s="470"/>
      <c r="D14" s="472">
        <f t="shared" si="19"/>
        <v>818268.35244260775</v>
      </c>
      <c r="E14" s="174">
        <f t="shared" si="1"/>
        <v>-2.8500000000000001E-2</v>
      </c>
      <c r="F14" s="173">
        <f t="shared" si="2"/>
        <v>-56370.63685151816</v>
      </c>
      <c r="G14" s="234">
        <f t="shared" si="20"/>
        <v>-23320.648044614321</v>
      </c>
      <c r="H14" s="356">
        <v>0</v>
      </c>
      <c r="I14" s="173">
        <f t="shared" si="35"/>
        <v>33049.988806903842</v>
      </c>
      <c r="J14" s="173">
        <f t="shared" si="21"/>
        <v>212981.63636429625</v>
      </c>
      <c r="K14" s="225">
        <f t="shared" si="22"/>
        <v>-3.3109586061815112E-2</v>
      </c>
      <c r="L14" s="477">
        <f>IF(L13-Q13&lt;0,0,L13-Q13)</f>
        <v>5406.5444008500663</v>
      </c>
      <c r="M14" s="545">
        <f t="shared" si="3"/>
        <v>-2.8500000000000001E-2</v>
      </c>
      <c r="N14" s="543">
        <f t="shared" si="4"/>
        <v>-7077.8192732031939</v>
      </c>
      <c r="O14" s="234">
        <f>IF(L14&gt;0,L14*M14,0)</f>
        <v>-154.08651542422689</v>
      </c>
      <c r="P14" s="423">
        <f t="shared" si="6"/>
        <v>0</v>
      </c>
      <c r="Q14" s="423">
        <f t="shared" si="24"/>
        <v>6923.7327577789674</v>
      </c>
      <c r="R14" s="551">
        <f t="shared" si="25"/>
        <v>51517.188356928906</v>
      </c>
      <c r="S14" s="578">
        <f t="shared" si="36"/>
        <v>39973.721564682812</v>
      </c>
      <c r="T14" s="489">
        <f t="shared" si="7"/>
        <v>3.8135586304791844E-2</v>
      </c>
      <c r="U14" s="572">
        <f t="shared" si="26"/>
        <v>264498.82472122513</v>
      </c>
      <c r="V14" s="573">
        <f t="shared" si="27"/>
        <v>823674.89684345783</v>
      </c>
      <c r="X14" s="522">
        <f t="shared" si="37"/>
        <v>-2251.515370704627</v>
      </c>
      <c r="Y14" s="234">
        <f t="shared" si="28"/>
        <v>50680.104812874742</v>
      </c>
      <c r="Z14" s="174">
        <f>IF(AfA_Art=AfA!B$15,VLOOKUP(A14,AfA_Tabelle,2),IF(AfA_Art=AfA!C$15,VLOOKUP(A14,AfA_Tabelle,3),IF(AfA_Art=AfA!D$15,VLOOKUP(A14,AfA_Tabelle,4),IF(AfA_Art=AfA!E$15,VLOOKUP(A14,AfA_Tabelle,5),IF(AfA_Art=AfA!F$15,VLOOKUP(A14,AfA_Tabelle,6),"tbd")))))</f>
        <v>0.02</v>
      </c>
      <c r="AA14" s="333">
        <f>IF(OR(AfA_Art=AfA!B$15,AfA_Art=AfA!C$15),-Z14*RBWnach6Jahren*(A14&gt;=7),IF(OR(AfA_Art=AfA!D$15,AfA_Art=AfA!E$15,AfA_Art=AfA!F$15),AFABasis*-Z14,"check"))</f>
        <v>-18491.2</v>
      </c>
      <c r="AB14" s="373">
        <v>0</v>
      </c>
      <c r="AC14" s="234">
        <f t="shared" si="38"/>
        <v>-18491.2</v>
      </c>
      <c r="AD14" s="333">
        <f>IF(AD13+AC14&gt;=0,AD13+AC14,0)</f>
        <v>795121.60000000033</v>
      </c>
      <c r="AE14" s="524">
        <f t="shared" si="39"/>
        <v>6462.6548821315664</v>
      </c>
      <c r="AF14" s="517">
        <f t="shared" si="8"/>
        <v>-0.42</v>
      </c>
      <c r="AG14" s="180"/>
      <c r="AH14" s="218">
        <f t="shared" si="40"/>
        <v>-2714.3150504952578</v>
      </c>
      <c r="AI14" s="217">
        <f t="shared" si="9"/>
        <v>-15019.866682551237</v>
      </c>
      <c r="AJ14" s="217">
        <f t="shared" si="10"/>
        <v>-17734.181733046495</v>
      </c>
      <c r="AK14" s="218">
        <f t="shared" si="11"/>
        <v>-115710.91350283087</v>
      </c>
      <c r="AL14" s="180"/>
      <c r="AM14" s="318">
        <f t="shared" si="30"/>
        <v>-133726.76522474844</v>
      </c>
      <c r="AN14" s="319">
        <f t="shared" si="31"/>
        <v>148787.91121839426</v>
      </c>
      <c r="AO14" s="319">
        <f t="shared" si="32"/>
        <v>130772.05949647669</v>
      </c>
      <c r="AP14" s="302"/>
      <c r="AQ14" s="536">
        <f t="shared" si="12"/>
        <v>214427.07042140202</v>
      </c>
      <c r="AR14" s="246">
        <f t="shared" si="13"/>
        <v>869844.69343021605</v>
      </c>
      <c r="AS14" s="238">
        <f t="shared" si="41"/>
        <v>1084271.7638516182</v>
      </c>
      <c r="AT14" s="199">
        <f t="shared" si="33"/>
        <v>260596.86700816033</v>
      </c>
      <c r="AU14" s="537">
        <f t="shared" si="14"/>
        <v>84859.675070012454</v>
      </c>
      <c r="AW14" s="176">
        <f t="shared" si="15"/>
        <v>7.3906701855088353E-2</v>
      </c>
      <c r="AX14" s="176">
        <f t="shared" si="34"/>
        <v>1.0238215891719804E-2</v>
      </c>
      <c r="AY14" s="257">
        <f t="shared" si="16"/>
        <v>0.84859675070012452</v>
      </c>
      <c r="AZ14" s="374">
        <f t="shared" si="17"/>
        <v>9.1742739021635433E-2</v>
      </c>
      <c r="BA14" s="223">
        <f t="shared" si="0"/>
        <v>2032</v>
      </c>
    </row>
    <row r="15" spans="1:53" ht="14.1" customHeight="1">
      <c r="A15" s="171">
        <v>8</v>
      </c>
      <c r="B15" s="172">
        <f t="shared" si="18"/>
        <v>2033</v>
      </c>
      <c r="C15" s="470"/>
      <c r="D15" s="472">
        <f t="shared" si="19"/>
        <v>785218.36363570392</v>
      </c>
      <c r="E15" s="174">
        <f t="shared" si="1"/>
        <v>-2.8500000000000001E-2</v>
      </c>
      <c r="F15" s="173">
        <f t="shared" si="2"/>
        <v>-56370.63685151816</v>
      </c>
      <c r="G15" s="234">
        <f t="shared" si="20"/>
        <v>-22378.723363617562</v>
      </c>
      <c r="H15" s="356">
        <v>0</v>
      </c>
      <c r="I15" s="173">
        <f t="shared" si="35"/>
        <v>33991.913487900601</v>
      </c>
      <c r="J15" s="173">
        <f t="shared" si="21"/>
        <v>246973.54985219685</v>
      </c>
      <c r="K15" s="225">
        <f t="shared" si="22"/>
        <v>-3.4053209264576841E-2</v>
      </c>
      <c r="L15" s="477">
        <f t="shared" ref="L15:L38" si="42">IF(L14-Q14&lt;0,0,L14-Q14)</f>
        <v>0</v>
      </c>
      <c r="M15" s="545">
        <f t="shared" si="3"/>
        <v>-2.8500000000000001E-2</v>
      </c>
      <c r="N15" s="543">
        <f t="shared" si="4"/>
        <v>-7077.8192732031939</v>
      </c>
      <c r="O15" s="234">
        <f t="shared" ref="O15:O37" si="43">IF(L15&gt;0,L15*M15,0)</f>
        <v>0</v>
      </c>
      <c r="P15" s="423">
        <f t="shared" si="6"/>
        <v>0</v>
      </c>
      <c r="Q15" s="423">
        <f t="shared" si="24"/>
        <v>7077.8192732031939</v>
      </c>
      <c r="R15" s="551">
        <f t="shared" si="25"/>
        <v>58595.007630132102</v>
      </c>
      <c r="S15" s="578">
        <f t="shared" si="36"/>
        <v>41069.732761103798</v>
      </c>
      <c r="T15" s="489">
        <f t="shared" si="7"/>
        <v>3.9181198970715321E-2</v>
      </c>
      <c r="U15" s="572">
        <f t="shared" si="26"/>
        <v>305568.55748232891</v>
      </c>
      <c r="V15" s="573">
        <f t="shared" si="27"/>
        <v>785218.36363570392</v>
      </c>
      <c r="X15" s="522">
        <f t="shared" si="37"/>
        <v>-2279.6593128384347</v>
      </c>
      <c r="Y15" s="234">
        <f t="shared" si="28"/>
        <v>51313.606123035672</v>
      </c>
      <c r="Z15" s="174">
        <f>IF(AfA_Art=AfA!B$15,VLOOKUP(A15,AfA_Tabelle,2),IF(AfA_Art=AfA!C$15,VLOOKUP(A15,AfA_Tabelle,3),IF(AfA_Art=AfA!D$15,VLOOKUP(A15,AfA_Tabelle,4),IF(AfA_Art=AfA!E$15,VLOOKUP(A15,AfA_Tabelle,5),IF(AfA_Art=AfA!F$15,VLOOKUP(A15,AfA_Tabelle,6),"tbd")))))</f>
        <v>0.02</v>
      </c>
      <c r="AA15" s="333">
        <f>IF(OR(AfA_Art=AfA!B$15,AfA_Art=AfA!C$15),-Z15*RBWnach6Jahren*(A15&gt;=7),IF(OR(AfA_Art=AfA!D$15,AfA_Art=AfA!E$15,AfA_Art=AfA!F$15),AFABasis*-Z15,"check"))</f>
        <v>-18491.2</v>
      </c>
      <c r="AB15" s="373">
        <v>0</v>
      </c>
      <c r="AC15" s="234">
        <f t="shared" si="38"/>
        <v>-18491.2</v>
      </c>
      <c r="AD15" s="333">
        <f t="shared" ref="AD15:AD38" si="44">IF(AD14+AC15&gt;=0,AD14+AC15,0)</f>
        <v>776630.40000000037</v>
      </c>
      <c r="AE15" s="524">
        <f t="shared" si="39"/>
        <v>8164.0234465796748</v>
      </c>
      <c r="AF15" s="517">
        <f t="shared" si="8"/>
        <v>-0.42</v>
      </c>
      <c r="AG15" s="180"/>
      <c r="AH15" s="218">
        <f t="shared" si="40"/>
        <v>-3428.8898475634633</v>
      </c>
      <c r="AI15" s="217">
        <f t="shared" si="9"/>
        <v>-14414.509314524115</v>
      </c>
      <c r="AJ15" s="217">
        <f t="shared" si="10"/>
        <v>-17843.399162087579</v>
      </c>
      <c r="AK15" s="218">
        <f t="shared" si="11"/>
        <v>-133554.31266491846</v>
      </c>
      <c r="AL15" s="180"/>
      <c r="AM15" s="318">
        <f t="shared" si="30"/>
        <v>-157527.16427712591</v>
      </c>
      <c r="AN15" s="319">
        <f t="shared" si="31"/>
        <v>172014.24481741045</v>
      </c>
      <c r="AO15" s="319">
        <f t="shared" si="32"/>
        <v>148041.393205203</v>
      </c>
      <c r="AP15" s="302"/>
      <c r="AQ15" s="536">
        <f t="shared" si="12"/>
        <v>216571.34112561605</v>
      </c>
      <c r="AR15" s="246">
        <f t="shared" si="13"/>
        <v>874193.91689736699</v>
      </c>
      <c r="AS15" s="238">
        <f t="shared" si="41"/>
        <v>1090765.2580229831</v>
      </c>
      <c r="AT15" s="199">
        <f t="shared" si="33"/>
        <v>305546.89438727917</v>
      </c>
      <c r="AU15" s="537">
        <f>AS15+AN15-Investment</f>
        <v>114579.50284039346</v>
      </c>
      <c r="AW15" s="176">
        <f t="shared" si="15"/>
        <v>9.9790544191250177E-2</v>
      </c>
      <c r="AX15" s="176">
        <f t="shared" si="34"/>
        <v>1.1960935072003132E-2</v>
      </c>
      <c r="AY15" s="257">
        <f t="shared" si="16"/>
        <v>1.1457950284039347</v>
      </c>
      <c r="AZ15" s="374">
        <f t="shared" si="17"/>
        <v>0.10014145367873883</v>
      </c>
      <c r="BA15" s="223">
        <f t="shared" si="0"/>
        <v>2033</v>
      </c>
    </row>
    <row r="16" spans="1:53" ht="14.1" customHeight="1">
      <c r="A16" s="171">
        <v>9</v>
      </c>
      <c r="B16" s="172">
        <f t="shared" si="18"/>
        <v>2034</v>
      </c>
      <c r="C16" s="470"/>
      <c r="D16" s="472">
        <f t="shared" si="19"/>
        <v>751226.45014780329</v>
      </c>
      <c r="E16" s="174">
        <f t="shared" si="1"/>
        <v>-2.8500000000000001E-2</v>
      </c>
      <c r="F16" s="173">
        <f t="shared" si="2"/>
        <v>-56370.63685151816</v>
      </c>
      <c r="G16" s="234">
        <f t="shared" si="20"/>
        <v>-21409.953829212394</v>
      </c>
      <c r="H16" s="356">
        <v>0</v>
      </c>
      <c r="I16" s="173">
        <f t="shared" si="35"/>
        <v>34960.683022305762</v>
      </c>
      <c r="J16" s="173">
        <f t="shared" si="21"/>
        <v>281934.2328745026</v>
      </c>
      <c r="K16" s="225">
        <f t="shared" si="22"/>
        <v>-3.5023725728617276E-2</v>
      </c>
      <c r="L16" s="477">
        <f t="shared" si="42"/>
        <v>0</v>
      </c>
      <c r="M16" s="545">
        <f t="shared" si="3"/>
        <v>0</v>
      </c>
      <c r="N16" s="543">
        <f t="shared" si="4"/>
        <v>0</v>
      </c>
      <c r="O16" s="234">
        <f t="shared" si="43"/>
        <v>0</v>
      </c>
      <c r="P16" s="423">
        <f t="shared" si="6"/>
        <v>0</v>
      </c>
      <c r="Q16" s="423">
        <f t="shared" si="24"/>
        <v>0</v>
      </c>
      <c r="R16" s="551">
        <f t="shared" si="25"/>
        <v>58595.007630132102</v>
      </c>
      <c r="S16" s="578">
        <f t="shared" si="36"/>
        <v>34960.683022305762</v>
      </c>
      <c r="T16" s="489">
        <f t="shared" si="7"/>
        <v>3.3353065276002444E-2</v>
      </c>
      <c r="U16" s="572">
        <f t="shared" si="26"/>
        <v>340529.24050463468</v>
      </c>
      <c r="V16" s="573">
        <f t="shared" si="27"/>
        <v>751226.45014780329</v>
      </c>
      <c r="X16" s="522">
        <f t="shared" si="37"/>
        <v>-2308.1550542489149</v>
      </c>
      <c r="Y16" s="234">
        <f t="shared" si="28"/>
        <v>51955.026199573615</v>
      </c>
      <c r="Z16" s="174">
        <f>IF(AfA_Art=AfA!B$15,VLOOKUP(A16,AfA_Tabelle,2),IF(AfA_Art=AfA!C$15,VLOOKUP(A16,AfA_Tabelle,3),IF(AfA_Art=AfA!D$15,VLOOKUP(A16,AfA_Tabelle,4),IF(AfA_Art=AfA!E$15,VLOOKUP(A16,AfA_Tabelle,5),IF(AfA_Art=AfA!F$15,VLOOKUP(A16,AfA_Tabelle,6),"tbd")))))</f>
        <v>0.02</v>
      </c>
      <c r="AA16" s="333">
        <f>IF(OR(AfA_Art=AfA!B$15,AfA_Art=AfA!C$15),-Z16*RBWnach6Jahren*(A16&gt;=7),IF(OR(AfA_Art=AfA!D$15,AfA_Art=AfA!E$15,AfA_Art=AfA!F$15),AFABasis*-Z16,"check"))</f>
        <v>-18491.2</v>
      </c>
      <c r="AB16" s="373">
        <v>0</v>
      </c>
      <c r="AC16" s="234">
        <f t="shared" si="38"/>
        <v>-18491.2</v>
      </c>
      <c r="AD16" s="333">
        <f t="shared" si="44"/>
        <v>758139.20000000042</v>
      </c>
      <c r="AE16" s="524">
        <f t="shared" si="39"/>
        <v>9745.7173161123064</v>
      </c>
      <c r="AF16" s="517">
        <f t="shared" si="8"/>
        <v>-0.42</v>
      </c>
      <c r="AG16" s="180"/>
      <c r="AH16" s="218">
        <f t="shared" si="40"/>
        <v>-4093.2012727671686</v>
      </c>
      <c r="AI16" s="217">
        <f t="shared" si="9"/>
        <v>-6723.7657061934588</v>
      </c>
      <c r="AJ16" s="217">
        <f t="shared" si="10"/>
        <v>-10816.966978960627</v>
      </c>
      <c r="AK16" s="218">
        <f t="shared" si="11"/>
        <v>-144371.2796438791</v>
      </c>
      <c r="AL16" s="180"/>
      <c r="AM16" s="318">
        <f t="shared" si="30"/>
        <v>-175148.32390682003</v>
      </c>
      <c r="AN16" s="319">
        <f t="shared" si="31"/>
        <v>196157.96086075559</v>
      </c>
      <c r="AO16" s="319">
        <f t="shared" si="32"/>
        <v>165380.91659781465</v>
      </c>
      <c r="AP16" s="302"/>
      <c r="AQ16" s="536">
        <f t="shared" si="12"/>
        <v>218737.05453687222</v>
      </c>
      <c r="AR16" s="246">
        <f t="shared" si="13"/>
        <v>878564.88648185378</v>
      </c>
      <c r="AS16" s="238">
        <f t="shared" si="41"/>
        <v>1097301.941018726</v>
      </c>
      <c r="AT16" s="199">
        <f t="shared" si="33"/>
        <v>346075.49087092269</v>
      </c>
      <c r="AU16" s="537">
        <f t="shared" si="14"/>
        <v>145259.90187948151</v>
      </c>
      <c r="AW16" s="176">
        <f t="shared" si="15"/>
        <v>0.12651097533485586</v>
      </c>
      <c r="AX16" s="176">
        <f t="shared" si="34"/>
        <v>1.3324121382017218E-2</v>
      </c>
      <c r="AY16" s="257">
        <f t="shared" si="16"/>
        <v>1.452599018794815</v>
      </c>
      <c r="AZ16" s="374">
        <f t="shared" si="17"/>
        <v>0.10482079231828556</v>
      </c>
      <c r="BA16" s="223">
        <f t="shared" si="0"/>
        <v>2034</v>
      </c>
    </row>
    <row r="17" spans="1:53" ht="14.1" customHeight="1">
      <c r="A17" s="171">
        <v>10</v>
      </c>
      <c r="B17" s="172">
        <f t="shared" si="18"/>
        <v>2035</v>
      </c>
      <c r="C17" s="470"/>
      <c r="D17" s="472">
        <f t="shared" si="19"/>
        <v>716265.76712549757</v>
      </c>
      <c r="E17" s="174">
        <f t="shared" si="1"/>
        <v>-2.8500000000000001E-2</v>
      </c>
      <c r="F17" s="173">
        <f t="shared" si="2"/>
        <v>-56370.63685151816</v>
      </c>
      <c r="G17" s="234">
        <f t="shared" si="20"/>
        <v>-20413.574363076681</v>
      </c>
      <c r="H17" s="356">
        <v>0</v>
      </c>
      <c r="I17" s="173">
        <f t="shared" si="35"/>
        <v>35957.062488441479</v>
      </c>
      <c r="J17" s="173">
        <f t="shared" si="21"/>
        <v>317891.29536294407</v>
      </c>
      <c r="K17" s="225">
        <f t="shared" si="22"/>
        <v>-3.602190191188287E-2</v>
      </c>
      <c r="L17" s="477">
        <f t="shared" si="42"/>
        <v>0</v>
      </c>
      <c r="M17" s="545">
        <f t="shared" si="3"/>
        <v>0</v>
      </c>
      <c r="N17" s="543">
        <f t="shared" si="4"/>
        <v>0</v>
      </c>
      <c r="O17" s="234">
        <f t="shared" si="43"/>
        <v>0</v>
      </c>
      <c r="P17" s="423">
        <f t="shared" si="6"/>
        <v>0</v>
      </c>
      <c r="Q17" s="423">
        <f t="shared" si="24"/>
        <v>0</v>
      </c>
      <c r="R17" s="551">
        <f t="shared" si="25"/>
        <v>58595.007630132102</v>
      </c>
      <c r="S17" s="578">
        <f t="shared" si="36"/>
        <v>35957.062488441479</v>
      </c>
      <c r="T17" s="489">
        <f t="shared" si="7"/>
        <v>3.4303627636368517E-2</v>
      </c>
      <c r="U17" s="572">
        <f t="shared" si="26"/>
        <v>376486.30299307615</v>
      </c>
      <c r="V17" s="573">
        <f t="shared" si="27"/>
        <v>716265.76712549757</v>
      </c>
      <c r="X17" s="522">
        <f t="shared" si="37"/>
        <v>-2337.006992427026</v>
      </c>
      <c r="Y17" s="234">
        <f t="shared" si="28"/>
        <v>52604.464027068279</v>
      </c>
      <c r="Z17" s="174">
        <f>IF(AfA_Art=AfA!B$15,VLOOKUP(A17,AfA_Tabelle,2),IF(AfA_Art=AfA!C$15,VLOOKUP(A17,AfA_Tabelle,3),IF(AfA_Art=AfA!D$15,VLOOKUP(A17,AfA_Tabelle,4),IF(AfA_Art=AfA!E$15,VLOOKUP(A17,AfA_Tabelle,5),IF(AfA_Art=AfA!F$15,VLOOKUP(A17,AfA_Tabelle,6),"tbd")))))</f>
        <v>0.02</v>
      </c>
      <c r="AA17" s="333">
        <f>IF(OR(AfA_Art=AfA!B$15,AfA_Art=AfA!C$15),-Z17*RBWnach6Jahren*(A17&gt;=7),IF(OR(AfA_Art=AfA!D$15,AfA_Art=AfA!E$15,AfA_Art=AfA!F$15),AFABasis*-Z17,"check"))</f>
        <v>-18491.2</v>
      </c>
      <c r="AB17" s="373">
        <v>0</v>
      </c>
      <c r="AC17" s="234">
        <f t="shared" si="38"/>
        <v>-18491.2</v>
      </c>
      <c r="AD17" s="333">
        <f t="shared" si="44"/>
        <v>739648.00000000047</v>
      </c>
      <c r="AE17" s="524">
        <f t="shared" si="39"/>
        <v>11362.682671564569</v>
      </c>
      <c r="AF17" s="517">
        <f t="shared" si="8"/>
        <v>-0.42</v>
      </c>
      <c r="AG17" s="180"/>
      <c r="AH17" s="218">
        <f t="shared" si="40"/>
        <v>-4772.3267220571188</v>
      </c>
      <c r="AI17" s="217">
        <f t="shared" si="9"/>
        <v>-6103.1798168769092</v>
      </c>
      <c r="AJ17" s="217">
        <f t="shared" si="10"/>
        <v>-10875.506538934027</v>
      </c>
      <c r="AK17" s="218">
        <f t="shared" si="11"/>
        <v>-155246.78618281311</v>
      </c>
      <c r="AL17" s="180"/>
      <c r="AM17" s="318">
        <f t="shared" si="30"/>
        <v>-193565.10502863582</v>
      </c>
      <c r="AN17" s="319">
        <f t="shared" si="31"/>
        <v>221239.51681026304</v>
      </c>
      <c r="AO17" s="319">
        <f t="shared" si="32"/>
        <v>182921.19796444033</v>
      </c>
      <c r="AP17" s="302"/>
      <c r="AQ17" s="536">
        <f t="shared" si="12"/>
        <v>220924.42508224095</v>
      </c>
      <c r="AR17" s="246">
        <f t="shared" si="13"/>
        <v>882957.71091426292</v>
      </c>
      <c r="AS17" s="238">
        <f t="shared" si="41"/>
        <v>1103882.1359965038</v>
      </c>
      <c r="AT17" s="199">
        <f t="shared" si="33"/>
        <v>387616.36887100618</v>
      </c>
      <c r="AU17" s="537">
        <f t="shared" si="14"/>
        <v>176921.6528067668</v>
      </c>
      <c r="AW17" s="176">
        <f t="shared" si="15"/>
        <v>0.15408609371779028</v>
      </c>
      <c r="AX17" s="176">
        <f t="shared" si="34"/>
        <v>1.4434056302952802E-2</v>
      </c>
      <c r="AY17" s="257">
        <f t="shared" si="16"/>
        <v>1.7692165280676679</v>
      </c>
      <c r="AZ17" s="374">
        <f t="shared" si="17"/>
        <v>0.10722451141248257</v>
      </c>
      <c r="BA17" s="223">
        <f t="shared" si="0"/>
        <v>2035</v>
      </c>
    </row>
    <row r="18" spans="1:53" ht="14.1" customHeight="1">
      <c r="A18" s="171">
        <v>11</v>
      </c>
      <c r="B18" s="172">
        <f t="shared" si="18"/>
        <v>2036</v>
      </c>
      <c r="C18" s="470"/>
      <c r="D18" s="472">
        <f t="shared" si="19"/>
        <v>680308.7046370561</v>
      </c>
      <c r="E18" s="174">
        <f t="shared" si="1"/>
        <v>-3.2500000000000001E-2</v>
      </c>
      <c r="F18" s="173">
        <f t="shared" si="2"/>
        <v>-58022.563180074467</v>
      </c>
      <c r="G18" s="234">
        <f t="shared" si="20"/>
        <v>-22110.032900704326</v>
      </c>
      <c r="H18" s="356">
        <v>0</v>
      </c>
      <c r="I18" s="173">
        <f t="shared" si="35"/>
        <v>35912.530279370141</v>
      </c>
      <c r="J18" s="173">
        <f t="shared" si="21"/>
        <v>353803.82564231422</v>
      </c>
      <c r="K18" s="225">
        <f t="shared" si="22"/>
        <v>-3.5977289400290664E-2</v>
      </c>
      <c r="L18" s="477">
        <f t="shared" si="42"/>
        <v>0</v>
      </c>
      <c r="M18" s="545">
        <f t="shared" si="3"/>
        <v>0</v>
      </c>
      <c r="N18" s="543">
        <f t="shared" si="4"/>
        <v>0</v>
      </c>
      <c r="O18" s="234">
        <f t="shared" si="43"/>
        <v>0</v>
      </c>
      <c r="P18" s="423">
        <f t="shared" si="6"/>
        <v>0</v>
      </c>
      <c r="Q18" s="423">
        <f t="shared" si="24"/>
        <v>0</v>
      </c>
      <c r="R18" s="551">
        <f t="shared" si="25"/>
        <v>58595.007630132102</v>
      </c>
      <c r="S18" s="578">
        <f t="shared" si="36"/>
        <v>35912.530279370141</v>
      </c>
      <c r="T18" s="489">
        <f t="shared" si="7"/>
        <v>3.4261143178181783E-2</v>
      </c>
      <c r="U18" s="572">
        <f t="shared" si="26"/>
        <v>412398.8332724463</v>
      </c>
      <c r="V18" s="573">
        <f t="shared" si="27"/>
        <v>680308.7046370561</v>
      </c>
      <c r="X18" s="522">
        <f t="shared" si="37"/>
        <v>-2366.2195798323637</v>
      </c>
      <c r="Y18" s="234">
        <f t="shared" si="28"/>
        <v>53262.019827406628</v>
      </c>
      <c r="Z18" s="174">
        <f>IF(AfA_Art=AfA!B$15,VLOOKUP(A18,AfA_Tabelle,2),IF(AfA_Art=AfA!C$15,VLOOKUP(A18,AfA_Tabelle,3),IF(AfA_Art=AfA!D$15,VLOOKUP(A18,AfA_Tabelle,4),IF(AfA_Art=AfA!E$15,VLOOKUP(A18,AfA_Tabelle,5),IF(AfA_Art=AfA!F$15,VLOOKUP(A18,AfA_Tabelle,6),"tbd")))))</f>
        <v>0.02</v>
      </c>
      <c r="AA18" s="333">
        <f>IF(OR(AfA_Art=AfA!B$15,AfA_Art=AfA!C$15),-Z18*RBWnach6Jahren*(A18&gt;=7),IF(OR(AfA_Art=AfA!D$15,AfA_Art=AfA!E$15,AfA_Art=AfA!F$15),AFABasis*-Z18,"check"))</f>
        <v>-18491.2</v>
      </c>
      <c r="AB18" s="373">
        <v>0</v>
      </c>
      <c r="AC18" s="234">
        <f t="shared" si="38"/>
        <v>-18491.2</v>
      </c>
      <c r="AD18" s="333">
        <f t="shared" si="44"/>
        <v>721156.80000000051</v>
      </c>
      <c r="AE18" s="524">
        <f t="shared" si="39"/>
        <v>10294.567346869935</v>
      </c>
      <c r="AF18" s="517">
        <f t="shared" si="8"/>
        <v>-0.42</v>
      </c>
      <c r="AG18" s="180"/>
      <c r="AH18" s="218">
        <f t="shared" si="40"/>
        <v>-4323.7182856853724</v>
      </c>
      <c r="AI18" s="217">
        <f t="shared" si="9"/>
        <v>-7126.7629325002054</v>
      </c>
      <c r="AJ18" s="217">
        <f t="shared" si="10"/>
        <v>-11450.481218185578</v>
      </c>
      <c r="AK18" s="218">
        <f t="shared" si="11"/>
        <v>-166697.26740099868</v>
      </c>
      <c r="AL18" s="180"/>
      <c r="AM18" s="318">
        <f t="shared" si="30"/>
        <v>-213337.95108065294</v>
      </c>
      <c r="AN18" s="319">
        <f t="shared" si="31"/>
        <v>245701.56587144762</v>
      </c>
      <c r="AO18" s="319">
        <f t="shared" si="32"/>
        <v>199060.88219179335</v>
      </c>
      <c r="AP18" s="302"/>
      <c r="AQ18" s="536">
        <f t="shared" si="12"/>
        <v>223133.66933306336</v>
      </c>
      <c r="AR18" s="246">
        <f t="shared" si="13"/>
        <v>887372.49946883414</v>
      </c>
      <c r="AS18" s="238">
        <f t="shared" si="41"/>
        <v>1110506.1688018974</v>
      </c>
      <c r="AT18" s="199">
        <f t="shared" si="33"/>
        <v>430197.46416484134</v>
      </c>
      <c r="AU18" s="537">
        <f t="shared" si="14"/>
        <v>208007.734673345</v>
      </c>
      <c r="AW18" s="176">
        <f t="shared" si="15"/>
        <v>0.18115984556117837</v>
      </c>
      <c r="AX18" s="176">
        <f t="shared" si="34"/>
        <v>1.5251210203473198E-2</v>
      </c>
      <c r="AY18" s="257">
        <f t="shared" si="16"/>
        <v>2.0800773467334501</v>
      </c>
      <c r="AZ18" s="374">
        <f t="shared" si="17"/>
        <v>0.10768096587951748</v>
      </c>
      <c r="BA18" s="223">
        <f t="shared" si="0"/>
        <v>2036</v>
      </c>
    </row>
    <row r="19" spans="1:53" ht="14.1" customHeight="1">
      <c r="A19" s="171">
        <v>12</v>
      </c>
      <c r="B19" s="172">
        <f t="shared" si="18"/>
        <v>2037</v>
      </c>
      <c r="C19" s="470"/>
      <c r="D19" s="472">
        <f t="shared" si="19"/>
        <v>644396.17435768596</v>
      </c>
      <c r="E19" s="174">
        <f t="shared" si="1"/>
        <v>-3.2500000000000001E-2</v>
      </c>
      <c r="F19" s="173">
        <f t="shared" si="2"/>
        <v>-58022.563180074467</v>
      </c>
      <c r="G19" s="234">
        <f t="shared" si="20"/>
        <v>-20942.875666624794</v>
      </c>
      <c r="H19" s="356">
        <v>0</v>
      </c>
      <c r="I19" s="173">
        <f t="shared" si="35"/>
        <v>37079.687513449673</v>
      </c>
      <c r="J19" s="173">
        <f t="shared" si="21"/>
        <v>390883.51315576391</v>
      </c>
      <c r="K19" s="225">
        <f t="shared" si="22"/>
        <v>-3.7146551305800114E-2</v>
      </c>
      <c r="L19" s="477">
        <f t="shared" si="42"/>
        <v>0</v>
      </c>
      <c r="M19" s="545">
        <f t="shared" si="3"/>
        <v>0</v>
      </c>
      <c r="N19" s="543">
        <f t="shared" si="4"/>
        <v>0</v>
      </c>
      <c r="O19" s="234">
        <f t="shared" si="43"/>
        <v>0</v>
      </c>
      <c r="P19" s="423">
        <f t="shared" si="6"/>
        <v>0</v>
      </c>
      <c r="Q19" s="423">
        <f t="shared" si="24"/>
        <v>0</v>
      </c>
      <c r="R19" s="551">
        <f t="shared" si="25"/>
        <v>58595.007630132102</v>
      </c>
      <c r="S19" s="578">
        <f t="shared" si="36"/>
        <v>37079.687513449673</v>
      </c>
      <c r="T19" s="489">
        <f t="shared" si="7"/>
        <v>3.5374630331472687E-2</v>
      </c>
      <c r="U19" s="572">
        <f t="shared" si="26"/>
        <v>449478.52078589599</v>
      </c>
      <c r="V19" s="573">
        <f t="shared" si="27"/>
        <v>644396.17435768596</v>
      </c>
      <c r="X19" s="522">
        <f t="shared" si="37"/>
        <v>-2395.7973245802682</v>
      </c>
      <c r="Y19" s="234">
        <f t="shared" si="28"/>
        <v>53927.795075249211</v>
      </c>
      <c r="Z19" s="174">
        <f>IF(AfA_Art=AfA!B$15,VLOOKUP(A19,AfA_Tabelle,2),IF(AfA_Art=AfA!C$15,VLOOKUP(A19,AfA_Tabelle,3),IF(AfA_Art=AfA!D$15,VLOOKUP(A19,AfA_Tabelle,4),IF(AfA_Art=AfA!E$15,VLOOKUP(A19,AfA_Tabelle,5),IF(AfA_Art=AfA!F$15,VLOOKUP(A19,AfA_Tabelle,6),"tbd")))))</f>
        <v>0.02</v>
      </c>
      <c r="AA19" s="333">
        <f>IF(OR(AfA_Art=AfA!B$15,AfA_Art=AfA!C$15),-Z19*RBWnach6Jahren*(A19&gt;=7),IF(OR(AfA_Art=AfA!D$15,AfA_Art=AfA!E$15,AfA_Art=AfA!F$15),AFABasis*-Z19,"check"))</f>
        <v>-18491.2</v>
      </c>
      <c r="AB19" s="373">
        <v>0</v>
      </c>
      <c r="AC19" s="234">
        <f t="shared" si="38"/>
        <v>-18491.2</v>
      </c>
      <c r="AD19" s="333">
        <f t="shared" si="44"/>
        <v>702665.60000000056</v>
      </c>
      <c r="AE19" s="524">
        <f t="shared" si="39"/>
        <v>12097.922084044145</v>
      </c>
      <c r="AF19" s="517">
        <f t="shared" si="8"/>
        <v>-0.42</v>
      </c>
      <c r="AG19" s="180"/>
      <c r="AH19" s="218">
        <f t="shared" si="40"/>
        <v>-5081.1272752985406</v>
      </c>
      <c r="AI19" s="217">
        <f t="shared" si="9"/>
        <v>-6490.5654294055275</v>
      </c>
      <c r="AJ19" s="217">
        <f t="shared" si="10"/>
        <v>-11571.692704704068</v>
      </c>
      <c r="AK19" s="218">
        <f t="shared" si="11"/>
        <v>-178268.96010570275</v>
      </c>
      <c r="AL19" s="180"/>
      <c r="AM19" s="318">
        <f t="shared" si="30"/>
        <v>-234060.25356615931</v>
      </c>
      <c r="AN19" s="319">
        <f t="shared" si="31"/>
        <v>271209.56068019324</v>
      </c>
      <c r="AO19" s="319">
        <f t="shared" si="32"/>
        <v>215418.26721973668</v>
      </c>
      <c r="AP19" s="302"/>
      <c r="AQ19" s="536">
        <f t="shared" si="12"/>
        <v>225365.006026394</v>
      </c>
      <c r="AR19" s="246">
        <f t="shared" si="13"/>
        <v>891809.36196617817</v>
      </c>
      <c r="AS19" s="238">
        <f t="shared" si="41"/>
        <v>1117174.3679925723</v>
      </c>
      <c r="AT19" s="199">
        <f t="shared" si="33"/>
        <v>472778.19363488629</v>
      </c>
      <c r="AU19" s="537">
        <f t="shared" si="14"/>
        <v>240183.92867276538</v>
      </c>
      <c r="AW19" s="176">
        <f t="shared" si="15"/>
        <v>0.20918300703080073</v>
      </c>
      <c r="AX19" s="176">
        <f t="shared" si="34"/>
        <v>1.5954682405331599E-2</v>
      </c>
      <c r="AY19" s="257">
        <f t="shared" si="16"/>
        <v>2.4018392867276539</v>
      </c>
      <c r="AZ19" s="374">
        <f t="shared" si="17"/>
        <v>0.1074126564690594</v>
      </c>
      <c r="BA19" s="223">
        <f t="shared" si="0"/>
        <v>2037</v>
      </c>
    </row>
    <row r="20" spans="1:53" ht="14.1" customHeight="1">
      <c r="A20" s="171">
        <v>13</v>
      </c>
      <c r="B20" s="172">
        <f t="shared" si="18"/>
        <v>2038</v>
      </c>
      <c r="C20" s="470"/>
      <c r="D20" s="472">
        <f t="shared" si="19"/>
        <v>607316.48684423626</v>
      </c>
      <c r="E20" s="174">
        <f t="shared" si="1"/>
        <v>-3.2500000000000001E-2</v>
      </c>
      <c r="F20" s="173">
        <f t="shared" si="2"/>
        <v>-58022.563180074467</v>
      </c>
      <c r="G20" s="234">
        <f t="shared" si="20"/>
        <v>-19737.78582243768</v>
      </c>
      <c r="H20" s="356">
        <v>0</v>
      </c>
      <c r="I20" s="173">
        <f t="shared" si="35"/>
        <v>38284.777357636791</v>
      </c>
      <c r="J20" s="173">
        <f t="shared" si="21"/>
        <v>429168.29051340069</v>
      </c>
      <c r="K20" s="225">
        <f t="shared" si="22"/>
        <v>-3.8353814223238622E-2</v>
      </c>
      <c r="L20" s="477">
        <f t="shared" si="42"/>
        <v>0</v>
      </c>
      <c r="M20" s="545">
        <f t="shared" si="3"/>
        <v>0</v>
      </c>
      <c r="N20" s="543">
        <f t="shared" si="4"/>
        <v>0</v>
      </c>
      <c r="O20" s="234">
        <f t="shared" si="43"/>
        <v>0</v>
      </c>
      <c r="P20" s="423">
        <f t="shared" si="6"/>
        <v>0</v>
      </c>
      <c r="Q20" s="423">
        <f t="shared" si="24"/>
        <v>0</v>
      </c>
      <c r="R20" s="551">
        <f t="shared" si="25"/>
        <v>58595.007630132102</v>
      </c>
      <c r="S20" s="578">
        <f t="shared" si="36"/>
        <v>38284.777357636791</v>
      </c>
      <c r="T20" s="489">
        <f t="shared" si="7"/>
        <v>3.6524305817245556E-2</v>
      </c>
      <c r="U20" s="572">
        <f t="shared" si="26"/>
        <v>487763.29814353277</v>
      </c>
      <c r="V20" s="573">
        <f t="shared" si="27"/>
        <v>607316.48684423626</v>
      </c>
      <c r="X20" s="522">
        <f t="shared" si="37"/>
        <v>-2425.7447911375216</v>
      </c>
      <c r="Y20" s="234">
        <f t="shared" si="28"/>
        <v>54601.892513689825</v>
      </c>
      <c r="Z20" s="174">
        <f>IF(AfA_Art=AfA!B$15,VLOOKUP(A20,AfA_Tabelle,2),IF(AfA_Art=AfA!C$15,VLOOKUP(A20,AfA_Tabelle,3),IF(AfA_Art=AfA!D$15,VLOOKUP(A20,AfA_Tabelle,4),IF(AfA_Art=AfA!E$15,VLOOKUP(A20,AfA_Tabelle,5),IF(AfA_Art=AfA!F$15,VLOOKUP(A20,AfA_Tabelle,6),"tbd")))))</f>
        <v>0.02</v>
      </c>
      <c r="AA20" s="333">
        <f>IF(OR(AfA_Art=AfA!B$15,AfA_Art=AfA!C$15),-Z20*RBWnach6Jahren*(A20&gt;=7),IF(OR(AfA_Art=AfA!D$15,AfA_Art=AfA!E$15,AfA_Art=AfA!F$15),AFABasis*-Z20,"check"))</f>
        <v>-18491.2</v>
      </c>
      <c r="AB20" s="373">
        <v>0</v>
      </c>
      <c r="AC20" s="234">
        <f t="shared" si="38"/>
        <v>-18491.2</v>
      </c>
      <c r="AD20" s="333">
        <f t="shared" si="44"/>
        <v>684174.40000000061</v>
      </c>
      <c r="AE20" s="524">
        <f t="shared" si="39"/>
        <v>13947.161900114625</v>
      </c>
      <c r="AF20" s="517">
        <f t="shared" si="8"/>
        <v>-0.42</v>
      </c>
      <c r="AG20" s="180"/>
      <c r="AH20" s="218">
        <f t="shared" si="40"/>
        <v>-5857.8079980481425</v>
      </c>
      <c r="AI20" s="217">
        <f t="shared" si="9"/>
        <v>-5846.4154575221619</v>
      </c>
      <c r="AJ20" s="217">
        <f t="shared" si="10"/>
        <v>-11704.223455570303</v>
      </c>
      <c r="AK20" s="218">
        <f t="shared" si="11"/>
        <v>-189973.18356127304</v>
      </c>
      <c r="AL20" s="180"/>
      <c r="AM20" s="318">
        <f t="shared" si="30"/>
        <v>-255783.21739640477</v>
      </c>
      <c r="AN20" s="319">
        <f t="shared" si="31"/>
        <v>297790.11458225973</v>
      </c>
      <c r="AO20" s="319">
        <f t="shared" si="32"/>
        <v>231980.080747128</v>
      </c>
      <c r="AP20" s="302"/>
      <c r="AQ20" s="536">
        <f t="shared" si="12"/>
        <v>227618.65608665792</v>
      </c>
      <c r="AR20" s="246">
        <f t="shared" si="13"/>
        <v>896268.40877600899</v>
      </c>
      <c r="AS20" s="238">
        <f t="shared" si="41"/>
        <v>1123887.0648626669</v>
      </c>
      <c r="AT20" s="199">
        <f t="shared" si="33"/>
        <v>516570.57801843062</v>
      </c>
      <c r="AU20" s="537">
        <f t="shared" si="14"/>
        <v>273477.17944492656</v>
      </c>
      <c r="AW20" s="176">
        <f t="shared" si="15"/>
        <v>0.23817904497903375</v>
      </c>
      <c r="AX20" s="176">
        <f t="shared" si="34"/>
        <v>1.6569764402742493E-2</v>
      </c>
      <c r="AY20" s="257">
        <f t="shared" si="16"/>
        <v>2.7347717944492658</v>
      </c>
      <c r="AZ20" s="374">
        <f t="shared" si="17"/>
        <v>0.10667554490360787</v>
      </c>
      <c r="BA20" s="223">
        <f t="shared" si="0"/>
        <v>2038</v>
      </c>
    </row>
    <row r="21" spans="1:53" ht="14.1" customHeight="1">
      <c r="A21" s="171">
        <v>14</v>
      </c>
      <c r="B21" s="172">
        <f t="shared" si="18"/>
        <v>2039</v>
      </c>
      <c r="C21" s="470"/>
      <c r="D21" s="472">
        <f t="shared" si="19"/>
        <v>569031.70948659943</v>
      </c>
      <c r="E21" s="174">
        <f t="shared" si="1"/>
        <v>-3.2500000000000001E-2</v>
      </c>
      <c r="F21" s="173">
        <f t="shared" si="2"/>
        <v>-58022.563180074467</v>
      </c>
      <c r="G21" s="234">
        <f t="shared" si="20"/>
        <v>-18493.530558314484</v>
      </c>
      <c r="H21" s="356">
        <v>0</v>
      </c>
      <c r="I21" s="173">
        <f t="shared" si="35"/>
        <v>39529.03262175998</v>
      </c>
      <c r="J21" s="173">
        <f t="shared" si="21"/>
        <v>468697.32313516067</v>
      </c>
      <c r="K21" s="225">
        <f t="shared" si="22"/>
        <v>-3.9600313185493868E-2</v>
      </c>
      <c r="L21" s="477">
        <f t="shared" si="42"/>
        <v>0</v>
      </c>
      <c r="M21" s="545">
        <f t="shared" si="3"/>
        <v>0</v>
      </c>
      <c r="N21" s="543">
        <f t="shared" si="4"/>
        <v>0</v>
      </c>
      <c r="O21" s="234">
        <f t="shared" si="43"/>
        <v>0</v>
      </c>
      <c r="P21" s="423">
        <f t="shared" si="6"/>
        <v>0</v>
      </c>
      <c r="Q21" s="423">
        <f t="shared" si="24"/>
        <v>0</v>
      </c>
      <c r="R21" s="551">
        <f t="shared" si="25"/>
        <v>58595.007630132102</v>
      </c>
      <c r="S21" s="578">
        <f t="shared" si="36"/>
        <v>39529.03262175998</v>
      </c>
      <c r="T21" s="489">
        <f t="shared" si="7"/>
        <v>3.7711345756306032E-2</v>
      </c>
      <c r="U21" s="572">
        <f t="shared" si="26"/>
        <v>527292.33076529275</v>
      </c>
      <c r="V21" s="573">
        <f t="shared" si="27"/>
        <v>569031.70948659943</v>
      </c>
      <c r="X21" s="522">
        <f t="shared" si="37"/>
        <v>-2456.0666010267405</v>
      </c>
      <c r="Y21" s="234">
        <f t="shared" si="28"/>
        <v>55284.416170110948</v>
      </c>
      <c r="Z21" s="174">
        <f>IF(AfA_Art=AfA!B$15,VLOOKUP(A21,AfA_Tabelle,2),IF(AfA_Art=AfA!C$15,VLOOKUP(A21,AfA_Tabelle,3),IF(AfA_Art=AfA!D$15,VLOOKUP(A21,AfA_Tabelle,4),IF(AfA_Art=AfA!E$15,VLOOKUP(A21,AfA_Tabelle,5),IF(AfA_Art=AfA!F$15,VLOOKUP(A21,AfA_Tabelle,6),"tbd")))))</f>
        <v>0.02</v>
      </c>
      <c r="AA21" s="333">
        <f>IF(OR(AfA_Art=AfA!B$15,AfA_Art=AfA!C$15),-Z21*RBWnach6Jahren*(A21&gt;=7),IF(OR(AfA_Art=AfA!D$15,AfA_Art=AfA!E$15,AfA_Art=AfA!F$15),AFABasis*-Z21,"check"))</f>
        <v>-18491.2</v>
      </c>
      <c r="AB21" s="373">
        <v>0</v>
      </c>
      <c r="AC21" s="234">
        <f t="shared" si="38"/>
        <v>-18491.2</v>
      </c>
      <c r="AD21" s="333">
        <f t="shared" si="44"/>
        <v>665683.20000000065</v>
      </c>
      <c r="AE21" s="524">
        <f t="shared" si="39"/>
        <v>15843.619010769729</v>
      </c>
      <c r="AF21" s="517">
        <f t="shared" si="8"/>
        <v>-0.42</v>
      </c>
      <c r="AG21" s="180"/>
      <c r="AH21" s="218">
        <f t="shared" si="40"/>
        <v>-6654.3199845232857</v>
      </c>
      <c r="AI21" s="217">
        <f t="shared" si="9"/>
        <v>-5194.2136109902567</v>
      </c>
      <c r="AJ21" s="217">
        <f t="shared" si="10"/>
        <v>-11848.533595513542</v>
      </c>
      <c r="AK21" s="218">
        <f t="shared" si="11"/>
        <v>-201821.71715678659</v>
      </c>
      <c r="AL21" s="180"/>
      <c r="AM21" s="318">
        <f t="shared" si="30"/>
        <v>-278560.65553186653</v>
      </c>
      <c r="AN21" s="319">
        <f t="shared" si="31"/>
        <v>325470.61360850616</v>
      </c>
      <c r="AO21" s="319">
        <f t="shared" si="32"/>
        <v>248731.67523342621</v>
      </c>
      <c r="AP21" s="302"/>
      <c r="AQ21" s="536">
        <f t="shared" si="12"/>
        <v>229894.84264752449</v>
      </c>
      <c r="AR21" s="246">
        <f t="shared" si="13"/>
        <v>900749.7508198889</v>
      </c>
      <c r="AS21" s="238">
        <f t="shared" si="41"/>
        <v>1130644.5934674134</v>
      </c>
      <c r="AT21" s="199">
        <f t="shared" si="33"/>
        <v>561612.88398081402</v>
      </c>
      <c r="AU21" s="537">
        <f t="shared" si="14"/>
        <v>307915.20707591949</v>
      </c>
      <c r="AW21" s="176">
        <f t="shared" si="15"/>
        <v>0.268172101616373</v>
      </c>
      <c r="AX21" s="176">
        <f t="shared" si="34"/>
        <v>1.7114559494036508E-2</v>
      </c>
      <c r="AY21" s="257">
        <f t="shared" si="16"/>
        <v>3.0791520707591951</v>
      </c>
      <c r="AZ21" s="374">
        <f t="shared" si="17"/>
        <v>0.10563590925381661</v>
      </c>
      <c r="BA21" s="223">
        <f t="shared" si="0"/>
        <v>2039</v>
      </c>
    </row>
    <row r="22" spans="1:53" ht="14.1" customHeight="1">
      <c r="A22" s="171">
        <v>15</v>
      </c>
      <c r="B22" s="172">
        <f t="shared" si="18"/>
        <v>2040</v>
      </c>
      <c r="C22" s="470"/>
      <c r="D22" s="472">
        <f t="shared" si="19"/>
        <v>529502.67686483939</v>
      </c>
      <c r="E22" s="174">
        <f t="shared" si="1"/>
        <v>-3.2500000000000001E-2</v>
      </c>
      <c r="F22" s="173">
        <f t="shared" si="2"/>
        <v>-58022.563180074467</v>
      </c>
      <c r="G22" s="234">
        <f t="shared" si="20"/>
        <v>-17208.836998107279</v>
      </c>
      <c r="H22" s="356">
        <v>0</v>
      </c>
      <c r="I22" s="173">
        <f t="shared" si="35"/>
        <v>40813.726181967184</v>
      </c>
      <c r="J22" s="173">
        <f t="shared" si="21"/>
        <v>509511.04931712785</v>
      </c>
      <c r="K22" s="225">
        <f t="shared" si="22"/>
        <v>-4.0887323364022427E-2</v>
      </c>
      <c r="L22" s="477">
        <f t="shared" si="42"/>
        <v>0</v>
      </c>
      <c r="M22" s="545">
        <f t="shared" si="3"/>
        <v>0</v>
      </c>
      <c r="N22" s="543">
        <f t="shared" si="4"/>
        <v>0</v>
      </c>
      <c r="O22" s="234">
        <f t="shared" si="43"/>
        <v>0</v>
      </c>
      <c r="P22" s="423">
        <f t="shared" si="6"/>
        <v>0</v>
      </c>
      <c r="Q22" s="423">
        <f t="shared" si="24"/>
        <v>0</v>
      </c>
      <c r="R22" s="551">
        <f t="shared" si="25"/>
        <v>58595.007630132102</v>
      </c>
      <c r="S22" s="578">
        <f t="shared" si="36"/>
        <v>40813.726181967184</v>
      </c>
      <c r="T22" s="489">
        <f t="shared" si="7"/>
        <v>3.8936964493385982E-2</v>
      </c>
      <c r="U22" s="572">
        <f t="shared" si="26"/>
        <v>568106.05694725993</v>
      </c>
      <c r="V22" s="573">
        <f t="shared" si="27"/>
        <v>529502.67686483939</v>
      </c>
      <c r="X22" s="522">
        <f t="shared" si="37"/>
        <v>-2486.7674335395745</v>
      </c>
      <c r="Y22" s="234">
        <f t="shared" si="28"/>
        <v>55975.471372237334</v>
      </c>
      <c r="Z22" s="174">
        <f>IF(AfA_Art=AfA!B$15,VLOOKUP(A22,AfA_Tabelle,2),IF(AfA_Art=AfA!C$15,VLOOKUP(A22,AfA_Tabelle,3),IF(AfA_Art=AfA!D$15,VLOOKUP(A22,AfA_Tabelle,4),IF(AfA_Art=AfA!E$15,VLOOKUP(A22,AfA_Tabelle,5),IF(AfA_Art=AfA!F$15,VLOOKUP(A22,AfA_Tabelle,6),"tbd")))))</f>
        <v>0.02</v>
      </c>
      <c r="AA22" s="333">
        <f>IF(OR(AfA_Art=AfA!B$15,AfA_Art=AfA!C$15),-Z22*RBWnach6Jahren*(A22&gt;=7),IF(OR(AfA_Art=AfA!D$15,AfA_Art=AfA!E$15,AfA_Art=AfA!F$15),AFABasis*-Z22,"check"))</f>
        <v>-18491.2</v>
      </c>
      <c r="AB22" s="373">
        <v>0</v>
      </c>
      <c r="AC22" s="234">
        <f t="shared" si="38"/>
        <v>-18491.2</v>
      </c>
      <c r="AD22" s="333">
        <f t="shared" si="44"/>
        <v>647192.0000000007</v>
      </c>
      <c r="AE22" s="524">
        <f t="shared" si="39"/>
        <v>17788.666940590479</v>
      </c>
      <c r="AF22" s="517">
        <f t="shared" si="8"/>
        <v>-0.42</v>
      </c>
      <c r="AG22" s="180"/>
      <c r="AH22" s="218">
        <f t="shared" si="40"/>
        <v>-7471.2401150480009</v>
      </c>
      <c r="AI22" s="217">
        <f t="shared" si="9"/>
        <v>-4533.8592413767037</v>
      </c>
      <c r="AJ22" s="217">
        <f t="shared" si="10"/>
        <v>-12005.099356424704</v>
      </c>
      <c r="AK22" s="218">
        <f t="shared" si="11"/>
        <v>-213826.81651321129</v>
      </c>
      <c r="AL22" s="180"/>
      <c r="AM22" s="318">
        <f t="shared" si="30"/>
        <v>-302449.1143378641</v>
      </c>
      <c r="AN22" s="319">
        <f t="shared" si="31"/>
        <v>354279.24043404864</v>
      </c>
      <c r="AO22" s="319">
        <f t="shared" si="32"/>
        <v>265656.94260939583</v>
      </c>
      <c r="AP22" s="302"/>
      <c r="AQ22" s="536">
        <f t="shared" si="12"/>
        <v>232193.79107399975</v>
      </c>
      <c r="AR22" s="246">
        <f t="shared" si="13"/>
        <v>905253.49957398826</v>
      </c>
      <c r="AS22" s="238">
        <f t="shared" si="41"/>
        <v>1137447.290647988</v>
      </c>
      <c r="AT22" s="199">
        <f t="shared" si="33"/>
        <v>607944.61378314858</v>
      </c>
      <c r="AU22" s="537">
        <f t="shared" si="14"/>
        <v>343526.53108203667</v>
      </c>
      <c r="AW22" s="176">
        <f t="shared" si="15"/>
        <v>0.29918701539978809</v>
      </c>
      <c r="AX22" s="176">
        <f t="shared" si="34"/>
        <v>1.7602373861078213E-2</v>
      </c>
      <c r="AY22" s="257">
        <f t="shared" si="16"/>
        <v>3.4352653108203666</v>
      </c>
      <c r="AZ22" s="374">
        <f t="shared" si="17"/>
        <v>0.10440400676463657</v>
      </c>
      <c r="BA22" s="223">
        <f t="shared" si="0"/>
        <v>2040</v>
      </c>
    </row>
    <row r="23" spans="1:53" ht="14.1" customHeight="1">
      <c r="A23" s="171">
        <v>16</v>
      </c>
      <c r="B23" s="172">
        <f t="shared" si="18"/>
        <v>2041</v>
      </c>
      <c r="C23" s="470"/>
      <c r="D23" s="472">
        <f t="shared" si="19"/>
        <v>488688.95068287221</v>
      </c>
      <c r="E23" s="174">
        <f t="shared" si="1"/>
        <v>-3.2500000000000001E-2</v>
      </c>
      <c r="F23" s="173">
        <f t="shared" si="2"/>
        <v>-58022.563180074467</v>
      </c>
      <c r="G23" s="234">
        <f t="shared" si="20"/>
        <v>-15882.390897193347</v>
      </c>
      <c r="H23" s="356">
        <v>0</v>
      </c>
      <c r="I23" s="173">
        <f t="shared" si="35"/>
        <v>42140.172282881118</v>
      </c>
      <c r="J23" s="173">
        <f t="shared" si="21"/>
        <v>551651.22160000901</v>
      </c>
      <c r="K23" s="225">
        <f t="shared" si="22"/>
        <v>-4.2216161373353156E-2</v>
      </c>
      <c r="L23" s="477">
        <f t="shared" si="42"/>
        <v>0</v>
      </c>
      <c r="M23" s="545">
        <f t="shared" si="3"/>
        <v>0</v>
      </c>
      <c r="N23" s="543">
        <f t="shared" si="4"/>
        <v>0</v>
      </c>
      <c r="O23" s="234">
        <f t="shared" si="43"/>
        <v>0</v>
      </c>
      <c r="P23" s="423">
        <f t="shared" si="6"/>
        <v>0</v>
      </c>
      <c r="Q23" s="423">
        <f t="shared" si="24"/>
        <v>0</v>
      </c>
      <c r="R23" s="551">
        <f t="shared" si="25"/>
        <v>58595.007630132102</v>
      </c>
      <c r="S23" s="578">
        <f t="shared" si="36"/>
        <v>42140.172282881118</v>
      </c>
      <c r="T23" s="489">
        <f t="shared" si="7"/>
        <v>4.0202415839421024E-2</v>
      </c>
      <c r="U23" s="572">
        <f t="shared" si="26"/>
        <v>610246.22923014103</v>
      </c>
      <c r="V23" s="573">
        <f t="shared" si="27"/>
        <v>488688.95068287221</v>
      </c>
      <c r="X23" s="522">
        <f t="shared" si="37"/>
        <v>-2517.8520264588192</v>
      </c>
      <c r="Y23" s="234">
        <f t="shared" si="28"/>
        <v>56675.164764390298</v>
      </c>
      <c r="Z23" s="174">
        <f>IF(AfA_Art=AfA!B$15,VLOOKUP(A23,AfA_Tabelle,2),IF(AfA_Art=AfA!C$15,VLOOKUP(A23,AfA_Tabelle,3),IF(AfA_Art=AfA!D$15,VLOOKUP(A23,AfA_Tabelle,4),IF(AfA_Art=AfA!E$15,VLOOKUP(A23,AfA_Tabelle,5),IF(AfA_Art=AfA!F$15,VLOOKUP(A23,AfA_Tabelle,6),"tbd")))))</f>
        <v>0.02</v>
      </c>
      <c r="AA23" s="333">
        <f>IF(OR(AfA_Art=AfA!B$15,AfA_Art=AfA!C$15),-Z23*RBWnach6Jahren*(A23&gt;=7),IF(OR(AfA_Art=AfA!D$15,AfA_Art=AfA!E$15,AfA_Art=AfA!F$15),AFABasis*-Z23,"check"))</f>
        <v>-18491.2</v>
      </c>
      <c r="AB23" s="373">
        <v>0</v>
      </c>
      <c r="AC23" s="234">
        <f t="shared" si="38"/>
        <v>-18491.2</v>
      </c>
      <c r="AD23" s="333">
        <f t="shared" si="44"/>
        <v>628700.80000000075</v>
      </c>
      <c r="AE23" s="524">
        <f t="shared" si="39"/>
        <v>19783.721840738126</v>
      </c>
      <c r="AF23" s="517">
        <f t="shared" si="8"/>
        <v>-0.42</v>
      </c>
      <c r="AG23" s="180"/>
      <c r="AH23" s="218">
        <f t="shared" si="40"/>
        <v>-8309.1631731100133</v>
      </c>
      <c r="AI23" s="217">
        <f t="shared" si="9"/>
        <v>-3865.2504421429912</v>
      </c>
      <c r="AJ23" s="217">
        <f t="shared" si="10"/>
        <v>-12174.413615253005</v>
      </c>
      <c r="AK23" s="218">
        <f t="shared" si="11"/>
        <v>-226001.23012846429</v>
      </c>
      <c r="AL23" s="180"/>
      <c r="AM23" s="318">
        <f t="shared" si="30"/>
        <v>-327508.00472415279</v>
      </c>
      <c r="AN23" s="319">
        <f t="shared" si="31"/>
        <v>384244.99910167675</v>
      </c>
      <c r="AO23" s="319">
        <f t="shared" si="32"/>
        <v>282738.22450598824</v>
      </c>
      <c r="AP23" s="302"/>
      <c r="AQ23" s="536">
        <f t="shared" si="12"/>
        <v>234515.72898473975</v>
      </c>
      <c r="AR23" s="246">
        <f t="shared" si="13"/>
        <v>909779.76707185805</v>
      </c>
      <c r="AS23" s="238">
        <f t="shared" si="41"/>
        <v>1144295.4960565977</v>
      </c>
      <c r="AT23" s="199">
        <f t="shared" si="33"/>
        <v>655606.54537372547</v>
      </c>
      <c r="AU23" s="537">
        <f t="shared" si="14"/>
        <v>380340.49515827443</v>
      </c>
      <c r="AW23" s="176">
        <f t="shared" si="15"/>
        <v>0.33124934258689637</v>
      </c>
      <c r="AX23" s="176">
        <f t="shared" si="34"/>
        <v>1.8043212891477811E-2</v>
      </c>
      <c r="AY23" s="257">
        <f t="shared" si="16"/>
        <v>3.8034049515827442</v>
      </c>
      <c r="AZ23" s="374">
        <f t="shared" si="17"/>
        <v>0.10305413015732245</v>
      </c>
      <c r="BA23" s="223">
        <f t="shared" si="0"/>
        <v>2041</v>
      </c>
    </row>
    <row r="24" spans="1:53" ht="14.1" customHeight="1">
      <c r="A24" s="171">
        <v>17</v>
      </c>
      <c r="B24" s="172">
        <f t="shared" si="18"/>
        <v>2042</v>
      </c>
      <c r="C24" s="470"/>
      <c r="D24" s="472">
        <f t="shared" si="19"/>
        <v>446548.7783999911</v>
      </c>
      <c r="E24" s="174">
        <f t="shared" si="1"/>
        <v>-3.2500000000000001E-2</v>
      </c>
      <c r="F24" s="173">
        <f t="shared" si="2"/>
        <v>-58022.563180074467</v>
      </c>
      <c r="G24" s="234">
        <f t="shared" si="20"/>
        <v>-14512.835297999711</v>
      </c>
      <c r="H24" s="356">
        <v>0</v>
      </c>
      <c r="I24" s="173">
        <f t="shared" si="35"/>
        <v>43509.72788207476</v>
      </c>
      <c r="J24" s="173">
        <f t="shared" si="21"/>
        <v>595160.94948208379</v>
      </c>
      <c r="K24" s="225">
        <f t="shared" si="22"/>
        <v>-4.3588186617987135E-2</v>
      </c>
      <c r="L24" s="477">
        <f t="shared" si="42"/>
        <v>0</v>
      </c>
      <c r="M24" s="545">
        <f t="shared" si="3"/>
        <v>0</v>
      </c>
      <c r="N24" s="543">
        <f t="shared" si="4"/>
        <v>0</v>
      </c>
      <c r="O24" s="234">
        <f t="shared" si="43"/>
        <v>0</v>
      </c>
      <c r="P24" s="423">
        <f t="shared" si="6"/>
        <v>0</v>
      </c>
      <c r="Q24" s="423">
        <f t="shared" si="24"/>
        <v>0</v>
      </c>
      <c r="R24" s="551">
        <f t="shared" si="25"/>
        <v>58595.007630132102</v>
      </c>
      <c r="S24" s="578">
        <f t="shared" si="36"/>
        <v>43509.72788207476</v>
      </c>
      <c r="T24" s="489">
        <f t="shared" si="7"/>
        <v>4.150899435420221E-2</v>
      </c>
      <c r="U24" s="572">
        <f t="shared" si="26"/>
        <v>653755.95711221581</v>
      </c>
      <c r="V24" s="573">
        <f t="shared" si="27"/>
        <v>446548.7783999911</v>
      </c>
      <c r="X24" s="522">
        <f t="shared" si="37"/>
        <v>-2549.3251767895545</v>
      </c>
      <c r="Y24" s="234">
        <f t="shared" si="28"/>
        <v>57383.604323945176</v>
      </c>
      <c r="Z24" s="174">
        <f>IF(AfA_Art=AfA!B$15,VLOOKUP(A24,AfA_Tabelle,2),IF(AfA_Art=AfA!C$15,VLOOKUP(A24,AfA_Tabelle,3),IF(AfA_Art=AfA!D$15,VLOOKUP(A24,AfA_Tabelle,4),IF(AfA_Art=AfA!E$15,VLOOKUP(A24,AfA_Tabelle,5),IF(AfA_Art=AfA!F$15,VLOOKUP(A24,AfA_Tabelle,6),"tbd")))))</f>
        <v>0.02</v>
      </c>
      <c r="AA24" s="333">
        <f>IF(OR(AfA_Art=AfA!B$15,AfA_Art=AfA!C$15),-Z24*RBWnach6Jahren*(A24&gt;=7),IF(OR(AfA_Art=AfA!D$15,AfA_Art=AfA!E$15,AfA_Art=AfA!F$15),AFABasis*-Z24,"check"))</f>
        <v>-18491.2</v>
      </c>
      <c r="AB24" s="373">
        <v>0</v>
      </c>
      <c r="AC24" s="234">
        <f t="shared" si="38"/>
        <v>-18491.2</v>
      </c>
      <c r="AD24" s="333">
        <f t="shared" si="44"/>
        <v>610209.60000000079</v>
      </c>
      <c r="AE24" s="524">
        <f t="shared" si="39"/>
        <v>21830.243849155911</v>
      </c>
      <c r="AF24" s="517">
        <f t="shared" si="8"/>
        <v>-0.42</v>
      </c>
      <c r="AG24" s="180"/>
      <c r="AH24" s="218">
        <f t="shared" si="40"/>
        <v>-9168.702416645483</v>
      </c>
      <c r="AI24" s="217">
        <f t="shared" si="9"/>
        <v>-3188.2840329188475</v>
      </c>
      <c r="AJ24" s="217">
        <f t="shared" si="10"/>
        <v>-12356.986449564331</v>
      </c>
      <c r="AK24" s="218">
        <f t="shared" si="11"/>
        <v>-238358.21657802863</v>
      </c>
      <c r="AL24" s="180"/>
      <c r="AM24" s="318">
        <f t="shared" si="30"/>
        <v>-353799.73932806466</v>
      </c>
      <c r="AN24" s="319">
        <f t="shared" si="31"/>
        <v>415397.74053418718</v>
      </c>
      <c r="AO24" s="319">
        <f t="shared" si="32"/>
        <v>299956.21778415114</v>
      </c>
      <c r="AP24" s="302"/>
      <c r="AQ24" s="536">
        <f t="shared" si="12"/>
        <v>236860.88627458716</v>
      </c>
      <c r="AR24" s="246">
        <f t="shared" si="13"/>
        <v>914328.66590721719</v>
      </c>
      <c r="AS24" s="238">
        <f t="shared" si="41"/>
        <v>1151189.5521818043</v>
      </c>
      <c r="AT24" s="199">
        <f t="shared" si="33"/>
        <v>704640.77378181322</v>
      </c>
      <c r="AU24" s="537">
        <f t="shared" si="14"/>
        <v>418387.29271599138</v>
      </c>
      <c r="AW24" s="176">
        <f t="shared" si="15"/>
        <v>0.36438537947743543</v>
      </c>
      <c r="AX24" s="176">
        <f t="shared" si="34"/>
        <v>1.8444750398805221E-2</v>
      </c>
      <c r="AY24" s="257">
        <f t="shared" si="16"/>
        <v>4.1838729271599142</v>
      </c>
      <c r="AZ24" s="374">
        <f t="shared" si="17"/>
        <v>0.1016369419908465</v>
      </c>
      <c r="BA24" s="223">
        <f t="shared" si="0"/>
        <v>2042</v>
      </c>
    </row>
    <row r="25" spans="1:53" ht="14.1" customHeight="1">
      <c r="A25" s="171">
        <v>18</v>
      </c>
      <c r="B25" s="172">
        <f t="shared" si="18"/>
        <v>2043</v>
      </c>
      <c r="C25" s="470"/>
      <c r="D25" s="472">
        <f t="shared" si="19"/>
        <v>403039.05051791633</v>
      </c>
      <c r="E25" s="174">
        <f t="shared" si="1"/>
        <v>-3.2500000000000001E-2</v>
      </c>
      <c r="F25" s="173">
        <f t="shared" si="2"/>
        <v>-58022.563180074467</v>
      </c>
      <c r="G25" s="234">
        <f t="shared" si="20"/>
        <v>-13098.769141832281</v>
      </c>
      <c r="H25" s="356">
        <v>0</v>
      </c>
      <c r="I25" s="173">
        <f t="shared" si="35"/>
        <v>44923.794038242188</v>
      </c>
      <c r="J25" s="173">
        <f t="shared" si="21"/>
        <v>640084.74352032598</v>
      </c>
      <c r="K25" s="225">
        <f t="shared" si="22"/>
        <v>-4.5004802683071714E-2</v>
      </c>
      <c r="L25" s="477">
        <f t="shared" si="42"/>
        <v>0</v>
      </c>
      <c r="M25" s="545">
        <f t="shared" si="3"/>
        <v>0</v>
      </c>
      <c r="N25" s="543">
        <f t="shared" si="4"/>
        <v>0</v>
      </c>
      <c r="O25" s="234">
        <f t="shared" si="43"/>
        <v>0</v>
      </c>
      <c r="P25" s="423">
        <f t="shared" si="6"/>
        <v>0</v>
      </c>
      <c r="Q25" s="423">
        <f t="shared" si="24"/>
        <v>0</v>
      </c>
      <c r="R25" s="551">
        <f t="shared" si="25"/>
        <v>58595.007630132102</v>
      </c>
      <c r="S25" s="578">
        <f t="shared" si="36"/>
        <v>44923.794038242188</v>
      </c>
      <c r="T25" s="489">
        <f t="shared" si="7"/>
        <v>4.2858036670713785E-2</v>
      </c>
      <c r="U25" s="572">
        <f t="shared" si="26"/>
        <v>698679.751150458</v>
      </c>
      <c r="V25" s="573">
        <f t="shared" si="27"/>
        <v>403039.05051791633</v>
      </c>
      <c r="X25" s="522">
        <f t="shared" si="37"/>
        <v>-2581.1917414994236</v>
      </c>
      <c r="Y25" s="234">
        <f t="shared" si="28"/>
        <v>58100.899377994487</v>
      </c>
      <c r="Z25" s="174">
        <f>IF(AfA_Art=AfA!B$15,VLOOKUP(A25,AfA_Tabelle,2),IF(AfA_Art=AfA!C$15,VLOOKUP(A25,AfA_Tabelle,3),IF(AfA_Art=AfA!D$15,VLOOKUP(A25,AfA_Tabelle,4),IF(AfA_Art=AfA!E$15,VLOOKUP(A25,AfA_Tabelle,5),IF(AfA_Art=AfA!F$15,VLOOKUP(A25,AfA_Tabelle,6),"tbd")))))</f>
        <v>0.02</v>
      </c>
      <c r="AA25" s="333">
        <f>IF(OR(AfA_Art=AfA!B$15,AfA_Art=AfA!C$15),-Z25*RBWnach6Jahren*(A25&gt;=7),IF(OR(AfA_Art=AfA!D$15,AfA_Art=AfA!E$15,AfA_Art=AfA!F$15),AFABasis*-Z25,"check"))</f>
        <v>-18491.2</v>
      </c>
      <c r="AB25" s="373">
        <v>0</v>
      </c>
      <c r="AC25" s="234">
        <f t="shared" si="38"/>
        <v>-18491.2</v>
      </c>
      <c r="AD25" s="333">
        <f t="shared" si="44"/>
        <v>591718.40000000084</v>
      </c>
      <c r="AE25" s="524">
        <f t="shared" si="39"/>
        <v>23929.738494662783</v>
      </c>
      <c r="AF25" s="517">
        <f t="shared" si="8"/>
        <v>-0.42</v>
      </c>
      <c r="AG25" s="180"/>
      <c r="AH25" s="218">
        <f t="shared" si="40"/>
        <v>-10050.490167758368</v>
      </c>
      <c r="AI25" s="217">
        <f t="shared" si="9"/>
        <v>-2502.8555435794042</v>
      </c>
      <c r="AJ25" s="217">
        <f t="shared" si="10"/>
        <v>-12553.345711337772</v>
      </c>
      <c r="AK25" s="218">
        <f t="shared" si="11"/>
        <v>-250911.56228936641</v>
      </c>
      <c r="AL25" s="180"/>
      <c r="AM25" s="318">
        <f t="shared" si="30"/>
        <v>-381389.87601219513</v>
      </c>
      <c r="AN25" s="319">
        <f t="shared" si="31"/>
        <v>447768.18886109162</v>
      </c>
      <c r="AO25" s="319">
        <f t="shared" si="32"/>
        <v>317289.87513826287</v>
      </c>
      <c r="AP25" s="302"/>
      <c r="AQ25" s="536">
        <f t="shared" si="12"/>
        <v>239229.49513733303</v>
      </c>
      <c r="AR25" s="246">
        <f t="shared" si="13"/>
        <v>918900.30923675315</v>
      </c>
      <c r="AS25" s="238">
        <f t="shared" si="41"/>
        <v>1158129.8043740862</v>
      </c>
      <c r="AT25" s="199">
        <f t="shared" si="33"/>
        <v>755090.75385616987</v>
      </c>
      <c r="AU25" s="537">
        <f t="shared" si="14"/>
        <v>457697.99323517783</v>
      </c>
      <c r="AW25" s="176">
        <f t="shared" si="15"/>
        <v>0.39862218536420296</v>
      </c>
      <c r="AX25" s="176">
        <f t="shared" si="34"/>
        <v>1.8812975321105707E-2</v>
      </c>
      <c r="AY25" s="257">
        <f t="shared" si="16"/>
        <v>4.5769799323517786</v>
      </c>
      <c r="AZ25" s="374">
        <f t="shared" si="17"/>
        <v>0.10018727032247821</v>
      </c>
      <c r="BA25" s="223">
        <f t="shared" si="0"/>
        <v>2043</v>
      </c>
    </row>
    <row r="26" spans="1:53" ht="14.1" customHeight="1">
      <c r="A26" s="171">
        <v>19</v>
      </c>
      <c r="B26" s="172">
        <f t="shared" si="18"/>
        <v>2044</v>
      </c>
      <c r="C26" s="470"/>
      <c r="D26" s="472">
        <f t="shared" si="19"/>
        <v>358115.25647967414</v>
      </c>
      <c r="E26" s="174">
        <f t="shared" si="1"/>
        <v>-3.2500000000000001E-2</v>
      </c>
      <c r="F26" s="173">
        <f t="shared" si="2"/>
        <v>-58022.563180074467</v>
      </c>
      <c r="G26" s="234">
        <f t="shared" si="20"/>
        <v>-11638.74583558941</v>
      </c>
      <c r="H26" s="356">
        <v>0</v>
      </c>
      <c r="I26" s="173">
        <f t="shared" si="35"/>
        <v>46383.817344485054</v>
      </c>
      <c r="J26" s="173">
        <f t="shared" si="21"/>
        <v>686468.56086481106</v>
      </c>
      <c r="K26" s="225">
        <f t="shared" si="22"/>
        <v>-4.6467458770271544E-2</v>
      </c>
      <c r="L26" s="477">
        <f t="shared" si="42"/>
        <v>0</v>
      </c>
      <c r="M26" s="545">
        <f t="shared" si="3"/>
        <v>0</v>
      </c>
      <c r="N26" s="543">
        <f t="shared" si="4"/>
        <v>0</v>
      </c>
      <c r="O26" s="234">
        <f t="shared" si="43"/>
        <v>0</v>
      </c>
      <c r="P26" s="423">
        <f t="shared" si="6"/>
        <v>0</v>
      </c>
      <c r="Q26" s="423">
        <f t="shared" si="24"/>
        <v>0</v>
      </c>
      <c r="R26" s="551">
        <f t="shared" si="25"/>
        <v>58595.007630132102</v>
      </c>
      <c r="S26" s="578">
        <f t="shared" si="36"/>
        <v>46383.817344485054</v>
      </c>
      <c r="T26" s="489">
        <f t="shared" si="7"/>
        <v>4.4250922862511977E-2</v>
      </c>
      <c r="U26" s="572">
        <f t="shared" si="26"/>
        <v>745063.56849494309</v>
      </c>
      <c r="V26" s="573">
        <f t="shared" si="27"/>
        <v>358115.25647967414</v>
      </c>
      <c r="X26" s="522">
        <f t="shared" si="37"/>
        <v>-2613.4566382681664</v>
      </c>
      <c r="Y26" s="234">
        <f t="shared" si="28"/>
        <v>58827.160620219416</v>
      </c>
      <c r="Z26" s="174">
        <f>IF(AfA_Art=AfA!B$15,VLOOKUP(A26,AfA_Tabelle,2),IF(AfA_Art=AfA!C$15,VLOOKUP(A26,AfA_Tabelle,3),IF(AfA_Art=AfA!D$15,VLOOKUP(A26,AfA_Tabelle,4),IF(AfA_Art=AfA!E$15,VLOOKUP(A26,AfA_Tabelle,5),IF(AfA_Art=AfA!F$15,VLOOKUP(A26,AfA_Tabelle,6),"tbd")))))</f>
        <v>0.02</v>
      </c>
      <c r="AA26" s="333">
        <f>IF(OR(AfA_Art=AfA!B$15,AfA_Art=AfA!C$15),-Z26*RBWnach6Jahren*(A26&gt;=7),IF(OR(AfA_Art=AfA!D$15,AfA_Art=AfA!E$15,AfA_Art=AfA!F$15),AFABasis*-Z26,"check"))</f>
        <v>-18491.2</v>
      </c>
      <c r="AB26" s="373">
        <v>0</v>
      </c>
      <c r="AC26" s="234">
        <f t="shared" si="38"/>
        <v>-18491.2</v>
      </c>
      <c r="AD26" s="333">
        <f t="shared" si="44"/>
        <v>573227.20000000088</v>
      </c>
      <c r="AE26" s="524">
        <f t="shared" si="39"/>
        <v>26083.758146361837</v>
      </c>
      <c r="AF26" s="517">
        <f t="shared" si="8"/>
        <v>-0.42</v>
      </c>
      <c r="AG26" s="180"/>
      <c r="AH26" s="218">
        <f t="shared" si="40"/>
        <v>-10955.178421471972</v>
      </c>
      <c r="AI26" s="217">
        <f t="shared" si="9"/>
        <v>-1808.8591981232166</v>
      </c>
      <c r="AJ26" s="217">
        <f t="shared" si="10"/>
        <v>-12764.037619595189</v>
      </c>
      <c r="AK26" s="218">
        <f t="shared" si="11"/>
        <v>-263675.59990896162</v>
      </c>
      <c r="AL26" s="180"/>
      <c r="AM26" s="318">
        <f t="shared" si="30"/>
        <v>-410347.26795955678</v>
      </c>
      <c r="AN26" s="319">
        <f t="shared" si="31"/>
        <v>481387.96858598146</v>
      </c>
      <c r="AO26" s="319">
        <f t="shared" si="32"/>
        <v>334716.30053538631</v>
      </c>
      <c r="AP26" s="302"/>
      <c r="AQ26" s="536">
        <f t="shared" si="12"/>
        <v>241621.79008870636</v>
      </c>
      <c r="AR26" s="246">
        <f t="shared" si="13"/>
        <v>923494.81078293687</v>
      </c>
      <c r="AS26" s="238">
        <f t="shared" si="41"/>
        <v>1165116.6008716433</v>
      </c>
      <c r="AT26" s="199">
        <f t="shared" si="33"/>
        <v>807001.34439196915</v>
      </c>
      <c r="AU26" s="537">
        <f t="shared" si="14"/>
        <v>498304.56945762481</v>
      </c>
      <c r="AW26" s="176">
        <f t="shared" si="15"/>
        <v>0.43398760621636023</v>
      </c>
      <c r="AX26" s="176">
        <f t="shared" si="34"/>
        <v>1.9152634502386912E-2</v>
      </c>
      <c r="AY26" s="257">
        <f t="shared" si="16"/>
        <v>4.9830456945762478</v>
      </c>
      <c r="AZ26" s="374">
        <f t="shared" si="17"/>
        <v>9.8729154102828565E-2</v>
      </c>
      <c r="BA26" s="223">
        <f t="shared" si="0"/>
        <v>2044</v>
      </c>
    </row>
    <row r="27" spans="1:53" ht="14.1" customHeight="1">
      <c r="A27" s="171">
        <v>20</v>
      </c>
      <c r="B27" s="172">
        <f t="shared" si="18"/>
        <v>2045</v>
      </c>
      <c r="C27" s="470"/>
      <c r="D27" s="472">
        <f t="shared" si="19"/>
        <v>311731.43913518905</v>
      </c>
      <c r="E27" s="174">
        <f t="shared" si="1"/>
        <v>-3.2500000000000001E-2</v>
      </c>
      <c r="F27" s="173">
        <f t="shared" si="2"/>
        <v>-58022.563180074467</v>
      </c>
      <c r="G27" s="234">
        <f t="shared" si="20"/>
        <v>-10131.271771893644</v>
      </c>
      <c r="H27" s="356">
        <v>0</v>
      </c>
      <c r="I27" s="173">
        <f t="shared" si="35"/>
        <v>47891.291408180827</v>
      </c>
      <c r="J27" s="173">
        <f t="shared" si="21"/>
        <v>734359.85227299191</v>
      </c>
      <c r="K27" s="225">
        <f t="shared" si="22"/>
        <v>-4.7977651180305378E-2</v>
      </c>
      <c r="L27" s="477">
        <f t="shared" si="42"/>
        <v>0</v>
      </c>
      <c r="M27" s="545">
        <f t="shared" si="3"/>
        <v>0</v>
      </c>
      <c r="N27" s="543">
        <f t="shared" si="4"/>
        <v>0</v>
      </c>
      <c r="O27" s="234">
        <f t="shared" si="43"/>
        <v>0</v>
      </c>
      <c r="P27" s="423">
        <f t="shared" si="6"/>
        <v>0</v>
      </c>
      <c r="Q27" s="423">
        <f t="shared" si="24"/>
        <v>0</v>
      </c>
      <c r="R27" s="551">
        <f t="shared" si="25"/>
        <v>58595.007630132102</v>
      </c>
      <c r="S27" s="578">
        <f t="shared" si="36"/>
        <v>47891.291408180827</v>
      </c>
      <c r="T27" s="489">
        <f t="shared" si="7"/>
        <v>4.5689077855543624E-2</v>
      </c>
      <c r="U27" s="572">
        <f t="shared" si="26"/>
        <v>792954.85990312393</v>
      </c>
      <c r="V27" s="573">
        <f t="shared" si="27"/>
        <v>311731.43913518905</v>
      </c>
      <c r="X27" s="522">
        <f t="shared" si="37"/>
        <v>-2646.1248462465182</v>
      </c>
      <c r="Y27" s="234">
        <f t="shared" si="28"/>
        <v>59562.500127972155</v>
      </c>
      <c r="Z27" s="174">
        <f>IF(AfA_Art=AfA!B$15,VLOOKUP(A27,AfA_Tabelle,2),IF(AfA_Art=AfA!C$15,VLOOKUP(A27,AfA_Tabelle,3),IF(AfA_Art=AfA!D$15,VLOOKUP(A27,AfA_Tabelle,4),IF(AfA_Art=AfA!E$15,VLOOKUP(A27,AfA_Tabelle,5),IF(AfA_Art=AfA!F$15,VLOOKUP(A27,AfA_Tabelle,6),"tbd")))))</f>
        <v>0.02</v>
      </c>
      <c r="AA27" s="333">
        <f>IF(OR(AfA_Art=AfA!B$15,AfA_Art=AfA!C$15),-Z27*RBWnach6Jahren*(A27&gt;=7),IF(OR(AfA_Art=AfA!D$15,AfA_Art=AfA!E$15,AfA_Art=AfA!F$15),AFABasis*-Z27,"check"))</f>
        <v>-18491.2</v>
      </c>
      <c r="AB27" s="373">
        <v>0</v>
      </c>
      <c r="AC27" s="234">
        <f t="shared" si="38"/>
        <v>-18491.2</v>
      </c>
      <c r="AD27" s="333">
        <f t="shared" si="44"/>
        <v>554736.00000000093</v>
      </c>
      <c r="AE27" s="524">
        <f t="shared" si="39"/>
        <v>28293.903509831998</v>
      </c>
      <c r="AF27" s="517">
        <f t="shared" si="8"/>
        <v>-0.42</v>
      </c>
      <c r="AG27" s="180"/>
      <c r="AH27" s="218">
        <f t="shared" si="40"/>
        <v>-11883.439474129438</v>
      </c>
      <c r="AI27" s="217">
        <f t="shared" si="9"/>
        <v>-1106.1878983488277</v>
      </c>
      <c r="AJ27" s="217">
        <f t="shared" si="10"/>
        <v>-12989.627372478266</v>
      </c>
      <c r="AK27" s="218">
        <f t="shared" si="11"/>
        <v>-276665.22728143987</v>
      </c>
      <c r="AL27" s="180"/>
      <c r="AM27" s="318">
        <f t="shared" si="30"/>
        <v>-440744.22066156351</v>
      </c>
      <c r="AN27" s="319">
        <f t="shared" si="31"/>
        <v>516289.63262168405</v>
      </c>
      <c r="AO27" s="319">
        <f t="shared" si="32"/>
        <v>352210.63924156042</v>
      </c>
      <c r="AP27" s="302"/>
      <c r="AQ27" s="536">
        <f t="shared" si="12"/>
        <v>244038.00798959343</v>
      </c>
      <c r="AR27" s="246">
        <f t="shared" si="13"/>
        <v>928112.28483685141</v>
      </c>
      <c r="AS27" s="238">
        <f t="shared" si="41"/>
        <v>1172150.2928264448</v>
      </c>
      <c r="AT27" s="199">
        <f t="shared" si="33"/>
        <v>860418.85369125579</v>
      </c>
      <c r="AU27" s="537">
        <f t="shared" si="14"/>
        <v>540239.92544812895</v>
      </c>
      <c r="AW27" s="176">
        <f t="shared" si="15"/>
        <v>0.47051029911873277</v>
      </c>
      <c r="AX27" s="176">
        <f t="shared" si="34"/>
        <v>1.9467542805322591E-2</v>
      </c>
      <c r="AY27" s="257">
        <f t="shared" si="16"/>
        <v>5.4023992544812893</v>
      </c>
      <c r="AZ27" s="374">
        <f t="shared" si="17"/>
        <v>9.7279176918438903E-2</v>
      </c>
      <c r="BA27" s="223">
        <f t="shared" si="0"/>
        <v>2045</v>
      </c>
    </row>
    <row r="28" spans="1:53" ht="14.1" customHeight="1">
      <c r="A28" s="171">
        <v>21</v>
      </c>
      <c r="B28" s="172">
        <f t="shared" si="18"/>
        <v>2046</v>
      </c>
      <c r="C28" s="470"/>
      <c r="D28" s="472">
        <f t="shared" si="19"/>
        <v>263840.14772700821</v>
      </c>
      <c r="E28" s="174">
        <f t="shared" si="1"/>
        <v>-3.2500000000000001E-2</v>
      </c>
      <c r="F28" s="173">
        <f t="shared" si="2"/>
        <v>-58022.563180074467</v>
      </c>
      <c r="G28" s="234">
        <f t="shared" si="20"/>
        <v>-8574.8048011277679</v>
      </c>
      <c r="H28" s="356">
        <v>0</v>
      </c>
      <c r="I28" s="173">
        <f t="shared" si="35"/>
        <v>49447.758378946703</v>
      </c>
      <c r="J28" s="173">
        <f t="shared" si="21"/>
        <v>783807.61065193859</v>
      </c>
      <c r="K28" s="225">
        <f t="shared" si="22"/>
        <v>-4.95369248436653E-2</v>
      </c>
      <c r="L28" s="477">
        <f t="shared" si="42"/>
        <v>0</v>
      </c>
      <c r="M28" s="545">
        <f t="shared" si="3"/>
        <v>0</v>
      </c>
      <c r="N28" s="543">
        <f t="shared" si="4"/>
        <v>0</v>
      </c>
      <c r="O28" s="234">
        <f t="shared" si="43"/>
        <v>0</v>
      </c>
      <c r="P28" s="423">
        <f t="shared" si="6"/>
        <v>0</v>
      </c>
      <c r="Q28" s="423">
        <f t="shared" si="24"/>
        <v>0</v>
      </c>
      <c r="R28" s="551">
        <f t="shared" si="25"/>
        <v>58595.007630132102</v>
      </c>
      <c r="S28" s="578">
        <f t="shared" si="36"/>
        <v>49447.758378946703</v>
      </c>
      <c r="T28" s="489">
        <f t="shared" si="7"/>
        <v>4.7173972885848792E-2</v>
      </c>
      <c r="U28" s="572">
        <f t="shared" si="26"/>
        <v>842402.61828207062</v>
      </c>
      <c r="V28" s="573">
        <f t="shared" si="27"/>
        <v>263840.14772700821</v>
      </c>
      <c r="X28" s="522">
        <f t="shared" si="37"/>
        <v>-2679.2014068245994</v>
      </c>
      <c r="Y28" s="234">
        <f t="shared" si="28"/>
        <v>60307.031379571803</v>
      </c>
      <c r="Z28" s="174">
        <f>IF(AfA_Art=AfA!B$15,VLOOKUP(A28,AfA_Tabelle,2),IF(AfA_Art=AfA!C$15,VLOOKUP(A28,AfA_Tabelle,3),IF(AfA_Art=AfA!D$15,VLOOKUP(A28,AfA_Tabelle,4),IF(AfA_Art=AfA!E$15,VLOOKUP(A28,AfA_Tabelle,5),IF(AfA_Art=AfA!F$15,VLOOKUP(A28,AfA_Tabelle,6),"tbd")))))</f>
        <v>0.02</v>
      </c>
      <c r="AA28" s="333">
        <f>IF(OR(AfA_Art=AfA!B$15,AfA_Art=AfA!C$15),-Z28*RBWnach6Jahren*(A28&gt;=7),IF(OR(AfA_Art=AfA!D$15,AfA_Art=AfA!E$15,AfA_Art=AfA!F$15),AFABasis*-Z28,"check"))</f>
        <v>-18491.2</v>
      </c>
      <c r="AB28" s="373">
        <v>0</v>
      </c>
      <c r="AC28" s="234">
        <f t="shared" si="38"/>
        <v>-18491.2</v>
      </c>
      <c r="AD28" s="333">
        <f t="shared" si="44"/>
        <v>536244.80000000098</v>
      </c>
      <c r="AE28" s="524">
        <f t="shared" si="39"/>
        <v>30561.825171619432</v>
      </c>
      <c r="AF28" s="517">
        <f t="shared" si="8"/>
        <v>-0.42</v>
      </c>
      <c r="AG28" s="180"/>
      <c r="AH28" s="218">
        <f t="shared" si="40"/>
        <v>-12835.96657208016</v>
      </c>
      <c r="AI28" s="217">
        <f t="shared" si="9"/>
        <v>-394.73320732726279</v>
      </c>
      <c r="AJ28" s="217">
        <f t="shared" si="10"/>
        <v>-13230.699779407423</v>
      </c>
      <c r="AK28" s="218">
        <f t="shared" si="11"/>
        <v>-289895.92706084729</v>
      </c>
      <c r="AL28" s="180"/>
      <c r="AM28" s="318">
        <f t="shared" si="30"/>
        <v>-472656.65610719181</v>
      </c>
      <c r="AN28" s="319">
        <f t="shared" si="31"/>
        <v>552506.69122122333</v>
      </c>
      <c r="AO28" s="319">
        <f t="shared" si="32"/>
        <v>369745.9621748788</v>
      </c>
      <c r="AP28" s="302"/>
      <c r="AQ28" s="536">
        <f t="shared" si="12"/>
        <v>246478.38806948936</v>
      </c>
      <c r="AR28" s="246">
        <f t="shared" si="13"/>
        <v>932752.84626103553</v>
      </c>
      <c r="AS28" s="238">
        <f t="shared" si="41"/>
        <v>1179231.2343305249</v>
      </c>
      <c r="AT28" s="199">
        <f t="shared" si="33"/>
        <v>915391.08660351671</v>
      </c>
      <c r="AU28" s="537">
        <f t="shared" si="14"/>
        <v>583537.92555174837</v>
      </c>
      <c r="AW28" s="176">
        <f t="shared" si="15"/>
        <v>0.50821975749150705</v>
      </c>
      <c r="AX28" s="176">
        <f t="shared" si="34"/>
        <v>1.9760804707739998E-2</v>
      </c>
      <c r="AY28" s="257">
        <f t="shared" si="16"/>
        <v>5.8353792555174833</v>
      </c>
      <c r="AZ28" s="374">
        <f t="shared" si="17"/>
        <v>9.5848710088931588E-2</v>
      </c>
      <c r="BA28" s="223">
        <f t="shared" si="0"/>
        <v>2046</v>
      </c>
    </row>
    <row r="29" spans="1:53" ht="14.1" customHeight="1">
      <c r="A29" s="171">
        <v>22</v>
      </c>
      <c r="B29" s="172">
        <f t="shared" si="18"/>
        <v>2047</v>
      </c>
      <c r="C29" s="470"/>
      <c r="D29" s="472">
        <f t="shared" si="19"/>
        <v>214392.38934806152</v>
      </c>
      <c r="E29" s="174">
        <f t="shared" si="1"/>
        <v>-3.2500000000000001E-2</v>
      </c>
      <c r="F29" s="173">
        <f t="shared" si="2"/>
        <v>-58022.563180074467</v>
      </c>
      <c r="G29" s="234">
        <f t="shared" si="20"/>
        <v>-6967.7526538120001</v>
      </c>
      <c r="H29" s="356">
        <v>0</v>
      </c>
      <c r="I29" s="173">
        <f t="shared" si="35"/>
        <v>51054.810526262467</v>
      </c>
      <c r="J29" s="173">
        <f t="shared" si="21"/>
        <v>834862.4211782011</v>
      </c>
      <c r="K29" s="225">
        <f t="shared" si="22"/>
        <v>-5.1146874901084417E-2</v>
      </c>
      <c r="L29" s="477">
        <f t="shared" si="42"/>
        <v>0</v>
      </c>
      <c r="M29" s="545">
        <f t="shared" si="3"/>
        <v>0</v>
      </c>
      <c r="N29" s="543">
        <f t="shared" si="4"/>
        <v>0</v>
      </c>
      <c r="O29" s="234">
        <f t="shared" si="43"/>
        <v>0</v>
      </c>
      <c r="P29" s="423">
        <f t="shared" si="6"/>
        <v>0</v>
      </c>
      <c r="Q29" s="423">
        <f t="shared" si="24"/>
        <v>0</v>
      </c>
      <c r="R29" s="551">
        <f t="shared" si="25"/>
        <v>58595.007630132102</v>
      </c>
      <c r="S29" s="578">
        <f t="shared" si="36"/>
        <v>51054.810526262467</v>
      </c>
      <c r="T29" s="489">
        <f t="shared" si="7"/>
        <v>4.8707127004638875E-2</v>
      </c>
      <c r="U29" s="572">
        <f t="shared" si="26"/>
        <v>893457.42880833312</v>
      </c>
      <c r="V29" s="573">
        <f t="shared" si="27"/>
        <v>214392.38934806152</v>
      </c>
      <c r="X29" s="522">
        <f t="shared" si="37"/>
        <v>-2712.6914244099066</v>
      </c>
      <c r="Y29" s="234">
        <f t="shared" si="28"/>
        <v>61060.869271816446</v>
      </c>
      <c r="Z29" s="174">
        <f>IF(AfA_Art=AfA!B$15,VLOOKUP(A29,AfA_Tabelle,2),IF(AfA_Art=AfA!C$15,VLOOKUP(A29,AfA_Tabelle,3),IF(AfA_Art=AfA!D$15,VLOOKUP(A29,AfA_Tabelle,4),IF(AfA_Art=AfA!E$15,VLOOKUP(A29,AfA_Tabelle,5),IF(AfA_Art=AfA!F$15,VLOOKUP(A29,AfA_Tabelle,6),"tbd")))))</f>
        <v>0.02</v>
      </c>
      <c r="AA29" s="333">
        <f>IF(OR(AfA_Art=AfA!B$15,AfA_Art=AfA!C$15),-Z29*RBWnach6Jahren*(A29&gt;=7),IF(OR(AfA_Art=AfA!D$15,AfA_Art=AfA!E$15,AfA_Art=AfA!F$15),AFABasis*-Z29,"check"))</f>
        <v>-18491.2</v>
      </c>
      <c r="AB29" s="373">
        <v>0</v>
      </c>
      <c r="AC29" s="234">
        <f t="shared" si="38"/>
        <v>-18491.2</v>
      </c>
      <c r="AD29" s="333">
        <f t="shared" si="44"/>
        <v>517753.60000000097</v>
      </c>
      <c r="AE29" s="524">
        <f t="shared" si="39"/>
        <v>32889.225193594539</v>
      </c>
      <c r="AF29" s="517">
        <f t="shared" si="8"/>
        <v>-0.42</v>
      </c>
      <c r="AG29" s="180"/>
      <c r="AH29" s="218">
        <f t="shared" si="40"/>
        <v>-13813.474581309705</v>
      </c>
      <c r="AI29" s="217">
        <f t="shared" si="9"/>
        <v>325.61466733206908</v>
      </c>
      <c r="AJ29" s="217">
        <f t="shared" si="10"/>
        <v>-13487.859913977636</v>
      </c>
      <c r="AK29" s="218">
        <f t="shared" si="11"/>
        <v>-303383.78697482491</v>
      </c>
      <c r="AL29" s="180"/>
      <c r="AM29" s="318">
        <f t="shared" si="30"/>
        <v>-506164.28449520963</v>
      </c>
      <c r="AN29" s="319">
        <f t="shared" si="31"/>
        <v>590073.64183350815</v>
      </c>
      <c r="AO29" s="319">
        <f t="shared" si="32"/>
        <v>387293.14431312348</v>
      </c>
      <c r="AP29" s="302"/>
      <c r="AQ29" s="536">
        <f t="shared" si="12"/>
        <v>248943.17195018425</v>
      </c>
      <c r="AR29" s="246">
        <f t="shared" si="13"/>
        <v>937416.61049234064</v>
      </c>
      <c r="AS29" s="238">
        <f t="shared" si="41"/>
        <v>1186359.7824425248</v>
      </c>
      <c r="AT29" s="199">
        <f t="shared" si="33"/>
        <v>971967.39309446327</v>
      </c>
      <c r="AU29" s="537">
        <f t="shared" si="14"/>
        <v>628233.42427603295</v>
      </c>
      <c r="AW29" s="176">
        <f t="shared" si="15"/>
        <v>0.54714633711551386</v>
      </c>
      <c r="AX29" s="176">
        <f t="shared" si="34"/>
        <v>2.0034975506158403E-2</v>
      </c>
      <c r="AY29" s="257">
        <f t="shared" si="16"/>
        <v>6.2823342427603297</v>
      </c>
      <c r="AZ29" s="374">
        <f t="shared" si="17"/>
        <v>9.4445446155377422E-2</v>
      </c>
      <c r="BA29" s="223">
        <f t="shared" si="0"/>
        <v>2047</v>
      </c>
    </row>
    <row r="30" spans="1:53" ht="14.1" customHeight="1">
      <c r="A30" s="171">
        <v>23</v>
      </c>
      <c r="B30" s="172">
        <f t="shared" si="18"/>
        <v>2048</v>
      </c>
      <c r="C30" s="470"/>
      <c r="D30" s="472">
        <f t="shared" si="19"/>
        <v>163337.57882179905</v>
      </c>
      <c r="E30" s="174">
        <f t="shared" si="1"/>
        <v>-3.2500000000000001E-2</v>
      </c>
      <c r="F30" s="173">
        <f t="shared" si="2"/>
        <v>-58022.563180074467</v>
      </c>
      <c r="G30" s="234">
        <f t="shared" si="20"/>
        <v>-5308.4713117084693</v>
      </c>
      <c r="H30" s="356">
        <v>0</v>
      </c>
      <c r="I30" s="173">
        <f t="shared" si="35"/>
        <v>52714.091868365998</v>
      </c>
      <c r="J30" s="173">
        <f t="shared" si="21"/>
        <v>887576.5130465671</v>
      </c>
      <c r="K30" s="225">
        <f t="shared" si="22"/>
        <v>-5.2809148335369663E-2</v>
      </c>
      <c r="L30" s="477">
        <f t="shared" si="42"/>
        <v>0</v>
      </c>
      <c r="M30" s="545">
        <f t="shared" si="3"/>
        <v>0</v>
      </c>
      <c r="N30" s="543">
        <f t="shared" si="4"/>
        <v>0</v>
      </c>
      <c r="O30" s="234">
        <f t="shared" si="43"/>
        <v>0</v>
      </c>
      <c r="P30" s="423">
        <f t="shared" si="6"/>
        <v>0</v>
      </c>
      <c r="Q30" s="423">
        <f t="shared" si="24"/>
        <v>0</v>
      </c>
      <c r="R30" s="551">
        <f t="shared" si="25"/>
        <v>58595.007630132102</v>
      </c>
      <c r="S30" s="578">
        <f t="shared" si="36"/>
        <v>52714.091868365998</v>
      </c>
      <c r="T30" s="489">
        <f t="shared" si="7"/>
        <v>5.0290108632289637E-2</v>
      </c>
      <c r="U30" s="572">
        <f t="shared" si="26"/>
        <v>946171.52067669912</v>
      </c>
      <c r="V30" s="573">
        <f t="shared" si="27"/>
        <v>163337.57882179905</v>
      </c>
      <c r="X30" s="522">
        <f t="shared" si="37"/>
        <v>-2746.6000672150303</v>
      </c>
      <c r="Y30" s="234">
        <f t="shared" si="28"/>
        <v>61824.13013771415</v>
      </c>
      <c r="Z30" s="174">
        <f>IF(AfA_Art=AfA!B$15,VLOOKUP(A30,AfA_Tabelle,2),IF(AfA_Art=AfA!C$15,VLOOKUP(A30,AfA_Tabelle,3),IF(AfA_Art=AfA!D$15,VLOOKUP(A30,AfA_Tabelle,4),IF(AfA_Art=AfA!E$15,VLOOKUP(A30,AfA_Tabelle,5),IF(AfA_Art=AfA!F$15,VLOOKUP(A30,AfA_Tabelle,6),"tbd")))))</f>
        <v>0.02</v>
      </c>
      <c r="AA30" s="333">
        <f>IF(OR(AfA_Art=AfA!B$15,AfA_Art=AfA!C$15),-Z30*RBWnach6Jahren*(A30&gt;=7),IF(OR(AfA_Art=AfA!D$15,AfA_Art=AfA!E$15,AfA_Art=AfA!F$15),AFABasis*-Z30,"check"))</f>
        <v>-18491.2</v>
      </c>
      <c r="AB30" s="373">
        <v>0</v>
      </c>
      <c r="AC30" s="234">
        <f t="shared" si="38"/>
        <v>-18491.2</v>
      </c>
      <c r="AD30" s="333">
        <f t="shared" si="44"/>
        <v>499262.40000000095</v>
      </c>
      <c r="AE30" s="524">
        <f t="shared" si="39"/>
        <v>35277.858758790651</v>
      </c>
      <c r="AF30" s="517">
        <f t="shared" si="8"/>
        <v>-0.42</v>
      </c>
      <c r="AG30" s="180"/>
      <c r="AH30" s="218">
        <f t="shared" si="40"/>
        <v>-14816.700678692074</v>
      </c>
      <c r="AI30" s="217">
        <f t="shared" si="9"/>
        <v>1054.96689042465</v>
      </c>
      <c r="AJ30" s="217">
        <f t="shared" si="10"/>
        <v>-13761.733788267424</v>
      </c>
      <c r="AK30" s="218">
        <f t="shared" si="11"/>
        <v>-317145.52076309233</v>
      </c>
      <c r="AL30" s="180"/>
      <c r="AM30" s="318">
        <f t="shared" si="30"/>
        <v>-541350.78380549618</v>
      </c>
      <c r="AN30" s="319">
        <f t="shared" si="31"/>
        <v>629025.99991360679</v>
      </c>
      <c r="AO30" s="319">
        <f t="shared" si="32"/>
        <v>404820.73687120294</v>
      </c>
      <c r="AP30" s="302"/>
      <c r="AQ30" s="536">
        <f t="shared" si="12"/>
        <v>251432.6036696861</v>
      </c>
      <c r="AR30" s="246">
        <f t="shared" si="13"/>
        <v>942103.69354480226</v>
      </c>
      <c r="AS30" s="238">
        <f t="shared" si="41"/>
        <v>1193536.2972144883</v>
      </c>
      <c r="AT30" s="199">
        <f t="shared" si="33"/>
        <v>1030198.7183926892</v>
      </c>
      <c r="AU30" s="537">
        <f t="shared" si="14"/>
        <v>674362.29712809506</v>
      </c>
      <c r="AW30" s="176">
        <f t="shared" si="15"/>
        <v>0.58732128298910913</v>
      </c>
      <c r="AX30" s="176">
        <f t="shared" si="34"/>
        <v>2.0292180482832878E-2</v>
      </c>
      <c r="AY30" s="257">
        <f t="shared" si="16"/>
        <v>6.743622971280951</v>
      </c>
      <c r="AZ30" s="374">
        <f t="shared" si="17"/>
        <v>9.307446200927294E-2</v>
      </c>
      <c r="BA30" s="223">
        <f t="shared" si="0"/>
        <v>2048</v>
      </c>
    </row>
    <row r="31" spans="1:53" ht="14.1" customHeight="1">
      <c r="A31" s="171">
        <v>24</v>
      </c>
      <c r="B31" s="172">
        <f t="shared" si="18"/>
        <v>2049</v>
      </c>
      <c r="C31" s="470"/>
      <c r="D31" s="472">
        <f t="shared" si="19"/>
        <v>110623.48695343305</v>
      </c>
      <c r="E31" s="174">
        <f t="shared" si="1"/>
        <v>-3.2500000000000001E-2</v>
      </c>
      <c r="F31" s="173">
        <f t="shared" si="2"/>
        <v>-58022.563180074467</v>
      </c>
      <c r="G31" s="234">
        <f t="shared" si="20"/>
        <v>-3595.2633259865743</v>
      </c>
      <c r="H31" s="356">
        <v>0</v>
      </c>
      <c r="I31" s="173">
        <f t="shared" si="35"/>
        <v>54427.299854087891</v>
      </c>
      <c r="J31" s="173">
        <f t="shared" si="21"/>
        <v>942003.81290065497</v>
      </c>
      <c r="K31" s="225">
        <f t="shared" si="22"/>
        <v>-5.4525445656269177E-2</v>
      </c>
      <c r="L31" s="477">
        <f t="shared" si="42"/>
        <v>0</v>
      </c>
      <c r="M31" s="545">
        <f t="shared" si="3"/>
        <v>0</v>
      </c>
      <c r="N31" s="543">
        <f t="shared" si="4"/>
        <v>0</v>
      </c>
      <c r="O31" s="234">
        <f t="shared" si="43"/>
        <v>0</v>
      </c>
      <c r="P31" s="423">
        <f t="shared" si="6"/>
        <v>0</v>
      </c>
      <c r="Q31" s="423">
        <f t="shared" si="24"/>
        <v>0</v>
      </c>
      <c r="R31" s="551">
        <f t="shared" si="25"/>
        <v>58595.007630132102</v>
      </c>
      <c r="S31" s="578">
        <f t="shared" si="36"/>
        <v>54427.299854087891</v>
      </c>
      <c r="T31" s="489">
        <f t="shared" si="7"/>
        <v>5.1924537162839048E-2</v>
      </c>
      <c r="U31" s="572">
        <f t="shared" si="26"/>
        <v>1000598.820530787</v>
      </c>
      <c r="V31" s="573">
        <f t="shared" si="27"/>
        <v>110623.48695343305</v>
      </c>
      <c r="X31" s="522">
        <f t="shared" si="37"/>
        <v>-2780.9325680552179</v>
      </c>
      <c r="Y31" s="234">
        <f t="shared" si="28"/>
        <v>62596.931764435576</v>
      </c>
      <c r="Z31" s="174">
        <f>IF(AfA_Art=AfA!B$15,VLOOKUP(A31,AfA_Tabelle,2),IF(AfA_Art=AfA!C$15,VLOOKUP(A31,AfA_Tabelle,3),IF(AfA_Art=AfA!D$15,VLOOKUP(A31,AfA_Tabelle,4),IF(AfA_Art=AfA!E$15,VLOOKUP(A31,AfA_Tabelle,5),IF(AfA_Art=AfA!F$15,VLOOKUP(A31,AfA_Tabelle,6),"tbd")))))</f>
        <v>0.02</v>
      </c>
      <c r="AA31" s="333">
        <f>IF(OR(AfA_Art=AfA!B$15,AfA_Art=AfA!C$15),-Z31*RBWnach6Jahren*(A31&gt;=7),IF(OR(AfA_Art=AfA!D$15,AfA_Art=AfA!E$15,AfA_Art=AfA!F$15),AFABasis*-Z31,"check"))</f>
        <v>-18491.2</v>
      </c>
      <c r="AB31" s="373">
        <v>0</v>
      </c>
      <c r="AC31" s="234">
        <f t="shared" si="38"/>
        <v>-18491.2</v>
      </c>
      <c r="AD31" s="333">
        <f t="shared" si="44"/>
        <v>480771.20000000094</v>
      </c>
      <c r="AE31" s="524">
        <f t="shared" si="39"/>
        <v>37729.535870393782</v>
      </c>
      <c r="AF31" s="517">
        <f t="shared" si="8"/>
        <v>-0.42</v>
      </c>
      <c r="AG31" s="180"/>
      <c r="AH31" s="218">
        <f t="shared" si="40"/>
        <v>-15846.405065565388</v>
      </c>
      <c r="AI31" s="217">
        <f t="shared" si="9"/>
        <v>1793.4360163058882</v>
      </c>
      <c r="AJ31" s="217">
        <f t="shared" si="10"/>
        <v>-14052.9690492595</v>
      </c>
      <c r="AK31" s="218">
        <f t="shared" si="11"/>
        <v>-331198.48981235182</v>
      </c>
      <c r="AL31" s="180"/>
      <c r="AM31" s="318">
        <f t="shared" si="30"/>
        <v>-578303.98758022184</v>
      </c>
      <c r="AN31" s="319">
        <f t="shared" si="31"/>
        <v>669400.33071843511</v>
      </c>
      <c r="AO31" s="319">
        <f t="shared" si="32"/>
        <v>422294.83295056515</v>
      </c>
      <c r="AP31" s="302"/>
      <c r="AQ31" s="536">
        <f t="shared" si="12"/>
        <v>253946.92970638297</v>
      </c>
      <c r="AR31" s="246">
        <f t="shared" si="13"/>
        <v>946814.21201252611</v>
      </c>
      <c r="AS31" s="238">
        <f t="shared" si="41"/>
        <v>1200761.1417189091</v>
      </c>
      <c r="AT31" s="199">
        <f t="shared" si="33"/>
        <v>1090137.654765476</v>
      </c>
      <c r="AU31" s="537">
        <f t="shared" si="14"/>
        <v>721961.47243734426</v>
      </c>
      <c r="AW31" s="176">
        <f t="shared" si="15"/>
        <v>0.62877675704349789</v>
      </c>
      <c r="AX31" s="176">
        <f t="shared" si="34"/>
        <v>2.0534204282973922E-2</v>
      </c>
      <c r="AY31" s="257">
        <f t="shared" si="16"/>
        <v>7.219614724373443</v>
      </c>
      <c r="AZ31" s="374">
        <f t="shared" si="17"/>
        <v>9.1738965022087671E-2</v>
      </c>
      <c r="BA31" s="223">
        <f t="shared" si="0"/>
        <v>2049</v>
      </c>
    </row>
    <row r="32" spans="1:53" ht="14.1" customHeight="1">
      <c r="A32" s="171">
        <v>25</v>
      </c>
      <c r="B32" s="172">
        <f t="shared" si="18"/>
        <v>2050</v>
      </c>
      <c r="C32" s="470"/>
      <c r="D32" s="472">
        <f t="shared" si="19"/>
        <v>56196.187099345159</v>
      </c>
      <c r="E32" s="174">
        <f t="shared" si="1"/>
        <v>-3.2500000000000001E-2</v>
      </c>
      <c r="F32" s="173">
        <f t="shared" si="2"/>
        <v>-58022.563180074467</v>
      </c>
      <c r="G32" s="234">
        <f t="shared" si="20"/>
        <v>-1826.3760807287179</v>
      </c>
      <c r="H32" s="356">
        <v>0</v>
      </c>
      <c r="I32" s="173">
        <f t="shared" si="35"/>
        <v>56196.187099345749</v>
      </c>
      <c r="J32" s="173">
        <f t="shared" si="21"/>
        <v>998200.0000000007</v>
      </c>
      <c r="K32" s="225">
        <f t="shared" si="22"/>
        <v>-5.6297522640097922E-2</v>
      </c>
      <c r="L32" s="477">
        <f t="shared" si="42"/>
        <v>0</v>
      </c>
      <c r="M32" s="545">
        <f t="shared" si="3"/>
        <v>0</v>
      </c>
      <c r="N32" s="543">
        <f t="shared" si="4"/>
        <v>0</v>
      </c>
      <c r="O32" s="234">
        <f t="shared" si="43"/>
        <v>0</v>
      </c>
      <c r="P32" s="423">
        <f t="shared" si="6"/>
        <v>0</v>
      </c>
      <c r="Q32" s="423">
        <f t="shared" si="24"/>
        <v>0</v>
      </c>
      <c r="R32" s="551">
        <f t="shared" si="25"/>
        <v>58595.007630132102</v>
      </c>
      <c r="S32" s="578">
        <f t="shared" si="36"/>
        <v>56196.187099345749</v>
      </c>
      <c r="T32" s="489">
        <f t="shared" si="7"/>
        <v>5.3612084620631321E-2</v>
      </c>
      <c r="U32" s="572">
        <f t="shared" si="26"/>
        <v>1056795.0076301328</v>
      </c>
      <c r="V32" s="573">
        <f t="shared" si="27"/>
        <v>56196.187099345159</v>
      </c>
      <c r="X32" s="522">
        <f t="shared" si="37"/>
        <v>-2815.694225155908</v>
      </c>
      <c r="Y32" s="234">
        <f t="shared" si="28"/>
        <v>63379.393411491015</v>
      </c>
      <c r="Z32" s="174">
        <f>IF(AfA_Art=AfA!B$15,VLOOKUP(A32,AfA_Tabelle,2),IF(AfA_Art=AfA!C$15,VLOOKUP(A32,AfA_Tabelle,3),IF(AfA_Art=AfA!D$15,VLOOKUP(A32,AfA_Tabelle,4),IF(AfA_Art=AfA!E$15,VLOOKUP(A32,AfA_Tabelle,5),IF(AfA_Art=AfA!F$15,VLOOKUP(A32,AfA_Tabelle,6),"tbd")))))</f>
        <v>0.02</v>
      </c>
      <c r="AA32" s="333">
        <f>IF(OR(AfA_Art=AfA!B$15,AfA_Art=AfA!C$15),-Z32*RBWnach6Jahren*(A32&gt;=7),IF(OR(AfA_Art=AfA!D$15,AfA_Art=AfA!E$15,AfA_Art=AfA!F$15),AFABasis*-Z32,"check"))</f>
        <v>-18491.2</v>
      </c>
      <c r="AB32" s="373">
        <v>0</v>
      </c>
      <c r="AC32" s="234">
        <f t="shared" si="38"/>
        <v>-18491.2</v>
      </c>
      <c r="AD32" s="333">
        <f t="shared" si="44"/>
        <v>462280.00000000093</v>
      </c>
      <c r="AE32" s="524">
        <f t="shared" si="39"/>
        <v>40246.123105606384</v>
      </c>
      <c r="AF32" s="517">
        <f t="shared" si="8"/>
        <v>-0.42</v>
      </c>
      <c r="AG32" s="180"/>
      <c r="AH32" s="218">
        <f t="shared" si="40"/>
        <v>-16903.371704354682</v>
      </c>
      <c r="AI32" s="217">
        <f t="shared" si="9"/>
        <v>2541.13600626064</v>
      </c>
      <c r="AJ32" s="217">
        <f t="shared" si="10"/>
        <v>-14362.235698094042</v>
      </c>
      <c r="AK32" s="218">
        <f t="shared" si="11"/>
        <v>-345560.72551044589</v>
      </c>
      <c r="AL32" s="180"/>
      <c r="AM32" s="318">
        <f t="shared" si="30"/>
        <v>-617116.08128104219</v>
      </c>
      <c r="AN32" s="319">
        <f t="shared" si="31"/>
        <v>711234.28211968695</v>
      </c>
      <c r="AO32" s="319">
        <f t="shared" si="32"/>
        <v>439678.92634909065</v>
      </c>
      <c r="AP32" s="302"/>
      <c r="AQ32" s="536">
        <f t="shared" si="12"/>
        <v>256486.3990034468</v>
      </c>
      <c r="AR32" s="246">
        <f t="shared" si="13"/>
        <v>951548.28307258862</v>
      </c>
      <c r="AS32" s="238">
        <f t="shared" si="41"/>
        <v>1208034.6820760355</v>
      </c>
      <c r="AT32" s="199">
        <f t="shared" si="33"/>
        <v>1151838.4949766903</v>
      </c>
      <c r="AU32" s="537">
        <f t="shared" si="14"/>
        <v>771068.96419572248</v>
      </c>
      <c r="AW32" s="176">
        <f t="shared" si="15"/>
        <v>0.67154586674422789</v>
      </c>
      <c r="AX32" s="176">
        <f t="shared" si="34"/>
        <v>2.0762558835360378E-2</v>
      </c>
      <c r="AY32" s="257">
        <f t="shared" si="16"/>
        <v>7.7106896419572246</v>
      </c>
      <c r="AZ32" s="374">
        <f t="shared" si="17"/>
        <v>9.0440822326547154E-2</v>
      </c>
      <c r="BA32" s="223">
        <f t="shared" si="0"/>
        <v>2050</v>
      </c>
    </row>
    <row r="33" spans="1:53" ht="14.1" customHeight="1">
      <c r="A33" s="171">
        <v>26</v>
      </c>
      <c r="B33" s="172">
        <f t="shared" si="18"/>
        <v>2051</v>
      </c>
      <c r="C33" s="470"/>
      <c r="D33" s="472">
        <f t="shared" si="19"/>
        <v>0</v>
      </c>
      <c r="E33" s="174">
        <f t="shared" si="1"/>
        <v>0</v>
      </c>
      <c r="F33" s="173">
        <f t="shared" si="2"/>
        <v>0</v>
      </c>
      <c r="G33" s="234">
        <f t="shared" si="20"/>
        <v>0</v>
      </c>
      <c r="H33" s="356">
        <v>0</v>
      </c>
      <c r="I33" s="173">
        <f t="shared" si="35"/>
        <v>0</v>
      </c>
      <c r="J33" s="173">
        <f t="shared" si="21"/>
        <v>998200.0000000007</v>
      </c>
      <c r="K33" s="225">
        <f t="shared" si="22"/>
        <v>0</v>
      </c>
      <c r="L33" s="477">
        <f t="shared" si="42"/>
        <v>0</v>
      </c>
      <c r="M33" s="545">
        <f t="shared" si="3"/>
        <v>0</v>
      </c>
      <c r="N33" s="543">
        <f t="shared" si="4"/>
        <v>0</v>
      </c>
      <c r="O33" s="234">
        <f t="shared" si="43"/>
        <v>0</v>
      </c>
      <c r="P33" s="423">
        <f t="shared" si="6"/>
        <v>0</v>
      </c>
      <c r="Q33" s="423">
        <f t="shared" si="24"/>
        <v>0</v>
      </c>
      <c r="R33" s="551">
        <f t="shared" si="25"/>
        <v>58595.007630132102</v>
      </c>
      <c r="S33" s="578">
        <f t="shared" si="36"/>
        <v>0</v>
      </c>
      <c r="T33" s="489">
        <f t="shared" si="7"/>
        <v>0</v>
      </c>
      <c r="U33" s="572">
        <f t="shared" si="26"/>
        <v>1056795.0076301328</v>
      </c>
      <c r="V33" s="573">
        <f t="shared" si="27"/>
        <v>0</v>
      </c>
      <c r="X33" s="522">
        <f t="shared" si="37"/>
        <v>-2850.8904029703567</v>
      </c>
      <c r="Y33" s="234">
        <f t="shared" si="28"/>
        <v>64171.635829134648</v>
      </c>
      <c r="Z33" s="174">
        <f>IF(AfA_Art=AfA!B$15,VLOOKUP(A33,AfA_Tabelle,2),IF(AfA_Art=AfA!C$15,VLOOKUP(A33,AfA_Tabelle,3),IF(AfA_Art=AfA!D$15,VLOOKUP(A33,AfA_Tabelle,4),IF(AfA_Art=AfA!E$15,VLOOKUP(A33,AfA_Tabelle,5),IF(AfA_Art=AfA!F$15,VLOOKUP(A33,AfA_Tabelle,6),"tbd")))))</f>
        <v>0.02</v>
      </c>
      <c r="AA33" s="333">
        <f>IF(OR(AfA_Art=AfA!B$15,AfA_Art=AfA!C$15),-Z33*RBWnach6Jahren*(A33&gt;=7),IF(OR(AfA_Art=AfA!D$15,AfA_Art=AfA!E$15,AfA_Art=AfA!F$15),AFABasis*-Z33,"check"))</f>
        <v>-18491.2</v>
      </c>
      <c r="AB33" s="373">
        <v>0</v>
      </c>
      <c r="AC33" s="234">
        <f t="shared" si="38"/>
        <v>-18491.2</v>
      </c>
      <c r="AD33" s="333">
        <f t="shared" si="44"/>
        <v>443788.80000000092</v>
      </c>
      <c r="AE33" s="524">
        <f t="shared" si="39"/>
        <v>42829.545426164288</v>
      </c>
      <c r="AF33" s="517">
        <f t="shared" si="8"/>
        <v>-0.42</v>
      </c>
      <c r="AG33" s="180"/>
      <c r="AH33" s="218">
        <f t="shared" si="40"/>
        <v>-17988.409078989</v>
      </c>
      <c r="AI33" s="217">
        <f t="shared" si="9"/>
        <v>61320.745426164292</v>
      </c>
      <c r="AJ33" s="217">
        <f t="shared" si="10"/>
        <v>43332.336347175296</v>
      </c>
      <c r="AK33" s="218">
        <f t="shared" si="11"/>
        <v>-302228.38916327059</v>
      </c>
      <c r="AL33" s="180"/>
      <c r="AM33" s="318">
        <f t="shared" si="30"/>
        <v>-598649.73330523423</v>
      </c>
      <c r="AN33" s="319">
        <f t="shared" si="31"/>
        <v>754566.61846686224</v>
      </c>
      <c r="AO33" s="319">
        <f t="shared" si="32"/>
        <v>458145.27432489861</v>
      </c>
      <c r="AP33" s="302"/>
      <c r="AQ33" s="536">
        <f t="shared" si="12"/>
        <v>259051.26299348127</v>
      </c>
      <c r="AR33" s="246">
        <f t="shared" si="13"/>
        <v>956306.02448795142</v>
      </c>
      <c r="AS33" s="238">
        <f t="shared" si="41"/>
        <v>1215357.2874814328</v>
      </c>
      <c r="AT33" s="199">
        <f t="shared" si="33"/>
        <v>0</v>
      </c>
      <c r="AU33" s="537">
        <f t="shared" si="14"/>
        <v>821723.90594829503</v>
      </c>
      <c r="AW33" s="176">
        <f t="shared" si="15"/>
        <v>0.71566269460746823</v>
      </c>
      <c r="AX33" s="176">
        <f t="shared" si="34"/>
        <v>2.0978535588868974E-2</v>
      </c>
      <c r="AY33" s="257">
        <f t="shared" si="16"/>
        <v>8.2172390594829494</v>
      </c>
      <c r="AZ33" s="374">
        <f t="shared" si="17"/>
        <v>8.9180939762511624E-2</v>
      </c>
      <c r="BA33" s="223">
        <f t="shared" si="0"/>
        <v>2051</v>
      </c>
    </row>
    <row r="34" spans="1:53" ht="14.1" customHeight="1">
      <c r="A34" s="171">
        <v>27</v>
      </c>
      <c r="B34" s="172">
        <f t="shared" si="18"/>
        <v>2052</v>
      </c>
      <c r="C34" s="470"/>
      <c r="D34" s="472">
        <f t="shared" si="19"/>
        <v>0</v>
      </c>
      <c r="E34" s="174">
        <f t="shared" si="1"/>
        <v>0</v>
      </c>
      <c r="F34" s="173">
        <f t="shared" si="2"/>
        <v>0</v>
      </c>
      <c r="G34" s="234">
        <f t="shared" si="20"/>
        <v>0</v>
      </c>
      <c r="H34" s="356">
        <v>0</v>
      </c>
      <c r="I34" s="173">
        <f t="shared" si="35"/>
        <v>0</v>
      </c>
      <c r="J34" s="173">
        <f t="shared" si="21"/>
        <v>998200.0000000007</v>
      </c>
      <c r="K34" s="225">
        <f t="shared" si="22"/>
        <v>0</v>
      </c>
      <c r="L34" s="477">
        <f t="shared" si="42"/>
        <v>0</v>
      </c>
      <c r="M34" s="545">
        <f t="shared" si="3"/>
        <v>0</v>
      </c>
      <c r="N34" s="543">
        <f t="shared" si="4"/>
        <v>0</v>
      </c>
      <c r="O34" s="234">
        <f t="shared" si="43"/>
        <v>0</v>
      </c>
      <c r="P34" s="423">
        <f t="shared" si="6"/>
        <v>0</v>
      </c>
      <c r="Q34" s="423">
        <f t="shared" si="24"/>
        <v>0</v>
      </c>
      <c r="R34" s="551">
        <f t="shared" si="25"/>
        <v>58595.007630132102</v>
      </c>
      <c r="S34" s="578">
        <f t="shared" si="36"/>
        <v>0</v>
      </c>
      <c r="T34" s="489">
        <f t="shared" si="7"/>
        <v>0</v>
      </c>
      <c r="U34" s="572">
        <f t="shared" si="26"/>
        <v>1056795.0076301328</v>
      </c>
      <c r="V34" s="573">
        <f t="shared" si="27"/>
        <v>0</v>
      </c>
      <c r="X34" s="522">
        <f t="shared" si="37"/>
        <v>-2886.5265330074863</v>
      </c>
      <c r="Y34" s="234">
        <f t="shared" si="28"/>
        <v>64973.78127699883</v>
      </c>
      <c r="Z34" s="174">
        <f>IF(AfA_Art=AfA!B$15,VLOOKUP(A34,AfA_Tabelle,2),IF(AfA_Art=AfA!C$15,VLOOKUP(A34,AfA_Tabelle,3),IF(AfA_Art=AfA!D$15,VLOOKUP(A34,AfA_Tabelle,4),IF(AfA_Art=AfA!E$15,VLOOKUP(A34,AfA_Tabelle,5),IF(AfA_Art=AfA!F$15,VLOOKUP(A34,AfA_Tabelle,6),"tbd")))))</f>
        <v>0.02</v>
      </c>
      <c r="AA34" s="333">
        <f>IF(OR(AfA_Art=AfA!B$15,AfA_Art=AfA!C$15),-Z34*RBWnach6Jahren*(A34&gt;=7),IF(OR(AfA_Art=AfA!D$15,AfA_Art=AfA!E$15,AfA_Art=AfA!F$15),AFABasis*-Z34,"check"))</f>
        <v>-18491.2</v>
      </c>
      <c r="AB34" s="373">
        <v>0</v>
      </c>
      <c r="AC34" s="234">
        <f t="shared" si="38"/>
        <v>-18491.2</v>
      </c>
      <c r="AD34" s="333">
        <f t="shared" si="44"/>
        <v>425297.60000000091</v>
      </c>
      <c r="AE34" s="524">
        <f t="shared" si="39"/>
        <v>43596.05474399135</v>
      </c>
      <c r="AF34" s="517">
        <f t="shared" si="8"/>
        <v>-0.42</v>
      </c>
      <c r="AG34" s="180"/>
      <c r="AH34" s="218">
        <f t="shared" si="40"/>
        <v>-18310.342992476366</v>
      </c>
      <c r="AI34" s="217">
        <f t="shared" si="9"/>
        <v>62087.254743991347</v>
      </c>
      <c r="AJ34" s="217">
        <f t="shared" si="10"/>
        <v>43776.911751514985</v>
      </c>
      <c r="AK34" s="218">
        <f t="shared" si="11"/>
        <v>-258451.47741175559</v>
      </c>
      <c r="AL34" s="180"/>
      <c r="AM34" s="318">
        <f t="shared" si="30"/>
        <v>-578958.37249917421</v>
      </c>
      <c r="AN34" s="319">
        <f t="shared" si="31"/>
        <v>798343.53021837724</v>
      </c>
      <c r="AO34" s="319">
        <f t="shared" si="32"/>
        <v>477836.63513095863</v>
      </c>
      <c r="AP34" s="302"/>
      <c r="AQ34" s="536">
        <f t="shared" si="12"/>
        <v>261641.77562341609</v>
      </c>
      <c r="AR34" s="246">
        <f t="shared" si="13"/>
        <v>961087.55461039103</v>
      </c>
      <c r="AS34" s="238">
        <f t="shared" si="41"/>
        <v>1222729.3302338072</v>
      </c>
      <c r="AT34" s="199">
        <f t="shared" si="33"/>
        <v>0</v>
      </c>
      <c r="AU34" s="537">
        <f t="shared" si="14"/>
        <v>872872.86045218445</v>
      </c>
      <c r="AW34" s="176">
        <f t="shared" si="15"/>
        <v>0.76020977221057695</v>
      </c>
      <c r="AX34" s="176">
        <f t="shared" si="34"/>
        <v>2.1162784303755844E-2</v>
      </c>
      <c r="AY34" s="257">
        <f t="shared" si="16"/>
        <v>8.7287286045218444</v>
      </c>
      <c r="AZ34" s="374">
        <f t="shared" si="17"/>
        <v>8.791426141791514E-2</v>
      </c>
      <c r="BA34" s="223">
        <f t="shared" si="0"/>
        <v>2052</v>
      </c>
    </row>
    <row r="35" spans="1:53" ht="14.1" customHeight="1">
      <c r="A35" s="171">
        <v>28</v>
      </c>
      <c r="B35" s="172">
        <f t="shared" si="18"/>
        <v>2053</v>
      </c>
      <c r="C35" s="470"/>
      <c r="D35" s="472">
        <f t="shared" si="19"/>
        <v>0</v>
      </c>
      <c r="E35" s="174">
        <f t="shared" si="1"/>
        <v>0</v>
      </c>
      <c r="F35" s="173">
        <f t="shared" si="2"/>
        <v>0</v>
      </c>
      <c r="G35" s="234">
        <f t="shared" si="20"/>
        <v>0</v>
      </c>
      <c r="H35" s="356">
        <v>0</v>
      </c>
      <c r="I35" s="173">
        <f t="shared" si="35"/>
        <v>0</v>
      </c>
      <c r="J35" s="173">
        <f t="shared" si="21"/>
        <v>998200.0000000007</v>
      </c>
      <c r="K35" s="225">
        <f t="shared" si="22"/>
        <v>0</v>
      </c>
      <c r="L35" s="477">
        <f t="shared" si="42"/>
        <v>0</v>
      </c>
      <c r="M35" s="545">
        <f t="shared" si="3"/>
        <v>0</v>
      </c>
      <c r="N35" s="543">
        <f t="shared" si="4"/>
        <v>0</v>
      </c>
      <c r="O35" s="234">
        <f t="shared" si="43"/>
        <v>0</v>
      </c>
      <c r="P35" s="423">
        <f t="shared" si="6"/>
        <v>0</v>
      </c>
      <c r="Q35" s="423">
        <f t="shared" si="24"/>
        <v>0</v>
      </c>
      <c r="R35" s="551">
        <f t="shared" si="25"/>
        <v>58595.007630132102</v>
      </c>
      <c r="S35" s="578">
        <f t="shared" si="36"/>
        <v>0</v>
      </c>
      <c r="T35" s="489">
        <f t="shared" si="7"/>
        <v>0</v>
      </c>
      <c r="U35" s="572">
        <f t="shared" si="26"/>
        <v>1056795.0076301328</v>
      </c>
      <c r="V35" s="573">
        <f t="shared" si="27"/>
        <v>0</v>
      </c>
      <c r="X35" s="522">
        <f t="shared" si="37"/>
        <v>-2922.6081146700799</v>
      </c>
      <c r="Y35" s="234">
        <f t="shared" si="28"/>
        <v>65785.953542961317</v>
      </c>
      <c r="Z35" s="174">
        <f>IF(AfA_Art=AfA!B$15,VLOOKUP(A35,AfA_Tabelle,2),IF(AfA_Art=AfA!C$15,VLOOKUP(A35,AfA_Tabelle,3),IF(AfA_Art=AfA!D$15,VLOOKUP(A35,AfA_Tabelle,4),IF(AfA_Art=AfA!E$15,VLOOKUP(A35,AfA_Tabelle,5),IF(AfA_Art=AfA!F$15,VLOOKUP(A35,AfA_Tabelle,6),"tbd")))))</f>
        <v>0.02</v>
      </c>
      <c r="AA35" s="333">
        <f>IF(OR(AfA_Art=AfA!B$15,AfA_Art=AfA!C$15),-Z35*RBWnach6Jahren*(A35&gt;=7),IF(OR(AfA_Art=AfA!D$15,AfA_Art=AfA!E$15,AfA_Art=AfA!F$15),AFABasis*-Z35,"check"))</f>
        <v>-18491.2</v>
      </c>
      <c r="AB35" s="373">
        <v>0</v>
      </c>
      <c r="AC35" s="234">
        <f>AA35+AB35</f>
        <v>-18491.2</v>
      </c>
      <c r="AD35" s="333">
        <f t="shared" si="44"/>
        <v>406806.4000000009</v>
      </c>
      <c r="AE35" s="524">
        <f t="shared" si="39"/>
        <v>44372.145428291231</v>
      </c>
      <c r="AF35" s="517">
        <f t="shared" si="8"/>
        <v>-0.42</v>
      </c>
      <c r="AG35" s="180"/>
      <c r="AH35" s="218">
        <f t="shared" si="40"/>
        <v>-18636.301079882316</v>
      </c>
      <c r="AI35" s="217">
        <f t="shared" si="9"/>
        <v>62863.345428291235</v>
      </c>
      <c r="AJ35" s="217">
        <f t="shared" si="10"/>
        <v>44227.044348408919</v>
      </c>
      <c r="AK35" s="218">
        <f t="shared" si="11"/>
        <v>-214224.43306334666</v>
      </c>
      <c r="AL35" s="180"/>
      <c r="AM35" s="318">
        <f t="shared" si="30"/>
        <v>-557985.16910033592</v>
      </c>
      <c r="AN35" s="319">
        <f t="shared" si="31"/>
        <v>842570.57456678618</v>
      </c>
      <c r="AO35" s="319">
        <f t="shared" si="32"/>
        <v>498809.83852979692</v>
      </c>
      <c r="AP35" s="302"/>
      <c r="AQ35" s="536">
        <f t="shared" si="12"/>
        <v>264258.19337965024</v>
      </c>
      <c r="AR35" s="246">
        <f t="shared" si="13"/>
        <v>965892.99238344294</v>
      </c>
      <c r="AS35" s="238">
        <f t="shared" si="41"/>
        <v>1230151.1857630932</v>
      </c>
      <c r="AT35" s="199">
        <f t="shared" si="33"/>
        <v>0</v>
      </c>
      <c r="AU35" s="537">
        <f t="shared" si="14"/>
        <v>924521.76032987935</v>
      </c>
      <c r="AW35" s="176">
        <f t="shared" si="15"/>
        <v>0.80519226644302333</v>
      </c>
      <c r="AX35" s="176">
        <f t="shared" si="34"/>
        <v>2.1319331497569038E-2</v>
      </c>
      <c r="AY35" s="257">
        <f t="shared" si="16"/>
        <v>9.2452176032987943</v>
      </c>
      <c r="AZ35" s="374">
        <f t="shared" si="17"/>
        <v>8.6650895891612345E-2</v>
      </c>
      <c r="BA35" s="223">
        <f t="shared" si="0"/>
        <v>2053</v>
      </c>
    </row>
    <row r="36" spans="1:53" ht="14.1" customHeight="1">
      <c r="A36" s="171">
        <v>29</v>
      </c>
      <c r="B36" s="172">
        <f t="shared" si="18"/>
        <v>2054</v>
      </c>
      <c r="C36" s="470"/>
      <c r="D36" s="472">
        <f t="shared" si="19"/>
        <v>0</v>
      </c>
      <c r="E36" s="174">
        <f t="shared" si="1"/>
        <v>0</v>
      </c>
      <c r="F36" s="173">
        <f t="shared" si="2"/>
        <v>0</v>
      </c>
      <c r="G36" s="234">
        <f t="shared" si="20"/>
        <v>0</v>
      </c>
      <c r="H36" s="356">
        <v>0</v>
      </c>
      <c r="I36" s="173">
        <f t="shared" si="35"/>
        <v>0</v>
      </c>
      <c r="J36" s="173">
        <f t="shared" si="21"/>
        <v>998200.0000000007</v>
      </c>
      <c r="K36" s="225">
        <f t="shared" si="22"/>
        <v>0</v>
      </c>
      <c r="L36" s="477">
        <f t="shared" si="42"/>
        <v>0</v>
      </c>
      <c r="M36" s="545">
        <f t="shared" si="3"/>
        <v>0</v>
      </c>
      <c r="N36" s="543">
        <f t="shared" si="4"/>
        <v>0</v>
      </c>
      <c r="O36" s="234">
        <f t="shared" si="43"/>
        <v>0</v>
      </c>
      <c r="P36" s="423">
        <f t="shared" si="6"/>
        <v>0</v>
      </c>
      <c r="Q36" s="423">
        <f t="shared" si="24"/>
        <v>0</v>
      </c>
      <c r="R36" s="551">
        <f t="shared" si="25"/>
        <v>58595.007630132102</v>
      </c>
      <c r="S36" s="578">
        <f t="shared" si="36"/>
        <v>0</v>
      </c>
      <c r="T36" s="489">
        <f t="shared" si="7"/>
        <v>0</v>
      </c>
      <c r="U36" s="572">
        <f t="shared" si="26"/>
        <v>1056795.0076301328</v>
      </c>
      <c r="V36" s="573">
        <f t="shared" si="27"/>
        <v>0</v>
      </c>
      <c r="X36" s="522">
        <f t="shared" si="37"/>
        <v>-2959.1407161034558</v>
      </c>
      <c r="Y36" s="234">
        <f t="shared" si="28"/>
        <v>66608.277962248336</v>
      </c>
      <c r="Z36" s="174">
        <f>IF(AfA_Art=AfA!B$15,VLOOKUP(A36,AfA_Tabelle,2),IF(AfA_Art=AfA!C$15,VLOOKUP(A36,AfA_Tabelle,3),IF(AfA_Art=AfA!D$15,VLOOKUP(A36,AfA_Tabelle,4),IF(AfA_Art=AfA!E$15,VLOOKUP(A36,AfA_Tabelle,5),IF(AfA_Art=AfA!F$15,VLOOKUP(A36,AfA_Tabelle,6),"tbd")))))</f>
        <v>0.02</v>
      </c>
      <c r="AA36" s="333">
        <f>IF(OR(AfA_Art=AfA!B$15,AfA_Art=AfA!C$15),-Z36*RBWnach6Jahren*(A36&gt;=7),IF(OR(AfA_Art=AfA!D$15,AfA_Art=AfA!E$15,AfA_Art=AfA!F$15),AFABasis*-Z36,"check"))</f>
        <v>-18491.2</v>
      </c>
      <c r="AB36" s="373">
        <v>0</v>
      </c>
      <c r="AC36" s="234">
        <f t="shared" si="38"/>
        <v>-18491.2</v>
      </c>
      <c r="AD36" s="333">
        <f t="shared" si="44"/>
        <v>388315.20000000088</v>
      </c>
      <c r="AE36" s="524">
        <f t="shared" si="39"/>
        <v>45157.93724614488</v>
      </c>
      <c r="AF36" s="517">
        <f t="shared" si="8"/>
        <v>-0.42</v>
      </c>
      <c r="AG36" s="180"/>
      <c r="AH36" s="218">
        <f t="shared" si="40"/>
        <v>-18966.333643380847</v>
      </c>
      <c r="AI36" s="217">
        <f t="shared" si="9"/>
        <v>63649.137246144877</v>
      </c>
      <c r="AJ36" s="217">
        <f t="shared" si="10"/>
        <v>44682.803602764034</v>
      </c>
      <c r="AK36" s="218">
        <f t="shared" si="11"/>
        <v>-169541.62946058263</v>
      </c>
      <c r="AL36" s="180"/>
      <c r="AM36" s="318">
        <f t="shared" si="30"/>
        <v>-535670.84921997623</v>
      </c>
      <c r="AN36" s="319">
        <f t="shared" si="31"/>
        <v>887253.37816955021</v>
      </c>
      <c r="AO36" s="319">
        <f t="shared" si="32"/>
        <v>521124.15841015661</v>
      </c>
      <c r="AP36" s="302"/>
      <c r="AQ36" s="536">
        <f t="shared" si="12"/>
        <v>266900.77531344676</v>
      </c>
      <c r="AR36" s="246">
        <f t="shared" si="13"/>
        <v>970722.45734536008</v>
      </c>
      <c r="AS36" s="238">
        <f t="shared" si="41"/>
        <v>1237623.2326588067</v>
      </c>
      <c r="AT36" s="199">
        <f t="shared" si="33"/>
        <v>0</v>
      </c>
      <c r="AU36" s="537">
        <f>AS36+AN36-Investment</f>
        <v>976676.61082835682</v>
      </c>
      <c r="AW36" s="176">
        <f t="shared" si="15"/>
        <v>0.85061540744500685</v>
      </c>
      <c r="AX36" s="176">
        <f t="shared" si="34"/>
        <v>2.1451614221687398E-2</v>
      </c>
      <c r="AY36" s="257">
        <f t="shared" si="16"/>
        <v>9.7667661082835675</v>
      </c>
      <c r="AZ36" s="374">
        <f t="shared" si="17"/>
        <v>8.5398326270082148E-2</v>
      </c>
      <c r="BA36" s="223">
        <f t="shared" si="0"/>
        <v>2054</v>
      </c>
    </row>
    <row r="37" spans="1:53" ht="14.1" customHeight="1">
      <c r="A37" s="171">
        <v>30</v>
      </c>
      <c r="B37" s="172">
        <f t="shared" si="18"/>
        <v>2055</v>
      </c>
      <c r="C37" s="470"/>
      <c r="D37" s="472">
        <f t="shared" si="19"/>
        <v>0</v>
      </c>
      <c r="E37" s="174">
        <f t="shared" si="1"/>
        <v>0</v>
      </c>
      <c r="F37" s="173">
        <f t="shared" si="2"/>
        <v>0</v>
      </c>
      <c r="G37" s="234">
        <f t="shared" si="20"/>
        <v>0</v>
      </c>
      <c r="H37" s="356">
        <v>0</v>
      </c>
      <c r="I37" s="173">
        <f t="shared" si="35"/>
        <v>0</v>
      </c>
      <c r="J37" s="173">
        <f t="shared" si="21"/>
        <v>998200.0000000007</v>
      </c>
      <c r="K37" s="225">
        <f t="shared" si="22"/>
        <v>0</v>
      </c>
      <c r="L37" s="477">
        <f t="shared" si="42"/>
        <v>0</v>
      </c>
      <c r="M37" s="545">
        <f t="shared" si="3"/>
        <v>0</v>
      </c>
      <c r="N37" s="543">
        <f t="shared" si="4"/>
        <v>0</v>
      </c>
      <c r="O37" s="234">
        <f t="shared" si="43"/>
        <v>0</v>
      </c>
      <c r="P37" s="423">
        <f t="shared" si="6"/>
        <v>0</v>
      </c>
      <c r="Q37" s="423">
        <f t="shared" si="24"/>
        <v>0</v>
      </c>
      <c r="R37" s="551">
        <f t="shared" si="25"/>
        <v>58595.007630132102</v>
      </c>
      <c r="S37" s="578">
        <f t="shared" si="36"/>
        <v>0</v>
      </c>
      <c r="T37" s="489">
        <f t="shared" si="7"/>
        <v>0</v>
      </c>
      <c r="U37" s="572">
        <f t="shared" si="26"/>
        <v>1056795.0076301328</v>
      </c>
      <c r="V37" s="573">
        <f t="shared" si="27"/>
        <v>0</v>
      </c>
      <c r="X37" s="522">
        <f t="shared" si="37"/>
        <v>-2996.1299750547487</v>
      </c>
      <c r="Y37" s="234">
        <f t="shared" si="28"/>
        <v>67440.881436776443</v>
      </c>
      <c r="Z37" s="174">
        <f>IF(AfA_Art=AfA!B$15,VLOOKUP(A37,AfA_Tabelle,2),IF(AfA_Art=AfA!C$15,VLOOKUP(A37,AfA_Tabelle,3),IF(AfA_Art=AfA!D$15,VLOOKUP(A37,AfA_Tabelle,4),IF(AfA_Art=AfA!E$15,VLOOKUP(A37,AfA_Tabelle,5),IF(AfA_Art=AfA!F$15,VLOOKUP(A37,AfA_Tabelle,6),"tbd")))))</f>
        <v>0.02</v>
      </c>
      <c r="AA37" s="333">
        <f>IF(OR(AfA_Art=AfA!B$15,AfA_Art=AfA!C$15),-Z37*RBWnach6Jahren*(A37&gt;=7),IF(OR(AfA_Art=AfA!D$15,AfA_Art=AfA!E$15,AfA_Art=AfA!F$15),AFABasis*-Z37,"check"))</f>
        <v>-18491.2</v>
      </c>
      <c r="AB37" s="373">
        <v>0</v>
      </c>
      <c r="AC37" s="234">
        <f t="shared" si="38"/>
        <v>-18491.2</v>
      </c>
      <c r="AD37" s="333">
        <f t="shared" si="44"/>
        <v>369824.00000000087</v>
      </c>
      <c r="AE37" s="524">
        <f t="shared" si="39"/>
        <v>45953.551461721698</v>
      </c>
      <c r="AF37" s="517">
        <f t="shared" si="8"/>
        <v>-0.42</v>
      </c>
      <c r="AG37" s="180"/>
      <c r="AH37" s="218">
        <f>AE37*AF37</f>
        <v>-19300.491613923114</v>
      </c>
      <c r="AI37" s="217">
        <f t="shared" si="9"/>
        <v>64444.751461721695</v>
      </c>
      <c r="AJ37" s="217">
        <f t="shared" ref="AJ37:AJ38" si="45">AI37+AH37</f>
        <v>45144.259847798581</v>
      </c>
      <c r="AK37" s="218">
        <f t="shared" si="11"/>
        <v>-124397.36961278404</v>
      </c>
      <c r="AL37" s="180"/>
      <c r="AM37" s="318">
        <f t="shared" si="30"/>
        <v>-511953.59188998182</v>
      </c>
      <c r="AN37" s="319">
        <f t="shared" si="31"/>
        <v>932397.63801734883</v>
      </c>
      <c r="AO37" s="319">
        <f t="shared" si="32"/>
        <v>544841.41574015096</v>
      </c>
      <c r="AP37" s="302"/>
      <c r="AQ37" s="536">
        <f t="shared" si="12"/>
        <v>269569.78306658124</v>
      </c>
      <c r="AR37" s="246">
        <f t="shared" si="13"/>
        <v>975576.06963208679</v>
      </c>
      <c r="AS37" s="238">
        <f t="shared" si="41"/>
        <v>1245145.8526986679</v>
      </c>
      <c r="AT37" s="199">
        <f t="shared" si="33"/>
        <v>0</v>
      </c>
      <c r="AU37" s="537">
        <f t="shared" si="14"/>
        <v>1029343.4907160169</v>
      </c>
      <c r="AW37" s="176">
        <f t="shared" si="15"/>
        <v>0.89648448938862291</v>
      </c>
      <c r="AX37" s="176">
        <f t="shared" si="34"/>
        <v>2.1562580549395083E-2</v>
      </c>
      <c r="AY37" s="257">
        <f t="shared" si="16"/>
        <v>10.293434907160169</v>
      </c>
      <c r="AZ37" s="374">
        <f t="shared" si="17"/>
        <v>8.4162051491865952E-2</v>
      </c>
      <c r="BA37" s="223">
        <f t="shared" si="0"/>
        <v>2055</v>
      </c>
    </row>
    <row r="38" spans="1:53" ht="14.1" customHeight="1" thickBot="1">
      <c r="A38" s="171">
        <v>31</v>
      </c>
      <c r="B38" s="172">
        <f t="shared" si="18"/>
        <v>2056</v>
      </c>
      <c r="C38" s="470"/>
      <c r="D38" s="472">
        <f t="shared" si="19"/>
        <v>0</v>
      </c>
      <c r="E38" s="473">
        <f t="shared" si="1"/>
        <v>0</v>
      </c>
      <c r="F38" s="474">
        <f t="shared" si="2"/>
        <v>0</v>
      </c>
      <c r="G38" s="475">
        <f t="shared" si="20"/>
        <v>0</v>
      </c>
      <c r="H38" s="476">
        <v>0</v>
      </c>
      <c r="I38" s="474">
        <f t="shared" si="35"/>
        <v>0</v>
      </c>
      <c r="J38" s="474">
        <f t="shared" ref="J38" si="46">J37-I38</f>
        <v>998200.0000000007</v>
      </c>
      <c r="K38" s="500">
        <f t="shared" si="22"/>
        <v>0</v>
      </c>
      <c r="L38" s="477">
        <f t="shared" si="42"/>
        <v>0</v>
      </c>
      <c r="M38" s="546">
        <f t="shared" si="3"/>
        <v>0</v>
      </c>
      <c r="N38" s="547">
        <f t="shared" si="4"/>
        <v>0</v>
      </c>
      <c r="O38" s="475">
        <f t="shared" ref="O38" si="47">IF(L38&gt;0,L38*M38,0)</f>
        <v>0</v>
      </c>
      <c r="P38" s="478">
        <f t="shared" si="6"/>
        <v>0</v>
      </c>
      <c r="Q38" s="478">
        <f t="shared" si="24"/>
        <v>0</v>
      </c>
      <c r="R38" s="552">
        <f t="shared" si="25"/>
        <v>58595.007630132102</v>
      </c>
      <c r="S38" s="579">
        <f t="shared" si="36"/>
        <v>0</v>
      </c>
      <c r="T38" s="489">
        <f t="shared" si="7"/>
        <v>0</v>
      </c>
      <c r="U38" s="574">
        <f t="shared" si="26"/>
        <v>1056795.0076301328</v>
      </c>
      <c r="V38" s="575">
        <f t="shared" si="27"/>
        <v>0</v>
      </c>
      <c r="X38" s="525">
        <f t="shared" si="37"/>
        <v>-3033.5815997429331</v>
      </c>
      <c r="Y38" s="475">
        <f t="shared" si="28"/>
        <v>68283.892454736138</v>
      </c>
      <c r="Z38" s="473">
        <f>IF(AfA_Art=AfA!B$15,VLOOKUP(A38,AfA_Tabelle,2),IF(AfA_Art=AfA!C$15,VLOOKUP(A38,AfA_Tabelle,3),IF(AfA_Art=AfA!D$15,VLOOKUP(A38,AfA_Tabelle,4),IF(AfA_Art=AfA!E$15,VLOOKUP(A38,AfA_Tabelle,5),IF(AfA_Art=AfA!F$15,VLOOKUP(A38,AfA_Tabelle,6),"tbd")))))</f>
        <v>0.02</v>
      </c>
      <c r="AA38" s="479">
        <f>IF(OR(AfA_Art=AfA!B$15,AfA_Art=AfA!C$15),-Z38*RBWnach6Jahren*(A38&gt;=7),IF(OR(AfA_Art=AfA!D$15,AfA_Art=AfA!E$15,AfA_Art=AfA!F$15),AFABasis*-Z38,"check"))</f>
        <v>-18491.2</v>
      </c>
      <c r="AB38" s="526">
        <v>0</v>
      </c>
      <c r="AC38" s="475">
        <f t="shared" si="38"/>
        <v>-18491.2</v>
      </c>
      <c r="AD38" s="479">
        <f t="shared" si="44"/>
        <v>351332.80000000086</v>
      </c>
      <c r="AE38" s="524">
        <f t="shared" si="39"/>
        <v>46759.110854993211</v>
      </c>
      <c r="AF38" s="517">
        <f t="shared" si="8"/>
        <v>-0.42</v>
      </c>
      <c r="AG38" s="180"/>
      <c r="AH38" s="218">
        <f t="shared" si="40"/>
        <v>-19638.826559097146</v>
      </c>
      <c r="AI38" s="217">
        <f t="shared" si="9"/>
        <v>65250.310854993208</v>
      </c>
      <c r="AJ38" s="217">
        <f t="shared" si="45"/>
        <v>45611.484295896065</v>
      </c>
      <c r="AK38" s="218">
        <f t="shared" si="11"/>
        <v>-78785.885316887972</v>
      </c>
      <c r="AL38" s="180"/>
      <c r="AM38" s="318">
        <f t="shared" si="30"/>
        <v>-486768.9217993131</v>
      </c>
      <c r="AN38" s="319">
        <f t="shared" si="31"/>
        <v>978009.12231324485</v>
      </c>
      <c r="AO38" s="319">
        <f t="shared" si="32"/>
        <v>570026.08583081979</v>
      </c>
      <c r="AP38" s="302"/>
      <c r="AQ38" s="538">
        <f t="shared" si="12"/>
        <v>272265.48089724703</v>
      </c>
      <c r="AR38" s="539">
        <f t="shared" si="13"/>
        <v>980453.94998024707</v>
      </c>
      <c r="AS38" s="540">
        <f t="shared" si="41"/>
        <v>1252719.4308774942</v>
      </c>
      <c r="AT38" s="199">
        <f t="shared" si="33"/>
        <v>0</v>
      </c>
      <c r="AU38" s="541">
        <f>AS38+AN38-Investment</f>
        <v>1082528.5531907389</v>
      </c>
      <c r="AW38" s="176">
        <f t="shared" si="15"/>
        <v>0.94280487126871526</v>
      </c>
      <c r="AX38" s="176">
        <f t="shared" si="34"/>
        <v>2.1654770466025042E-2</v>
      </c>
      <c r="AY38" s="257">
        <f t="shared" si="16"/>
        <v>10.825285531907388</v>
      </c>
      <c r="AZ38" s="374">
        <f t="shared" si="17"/>
        <v>8.2946063470126008E-2</v>
      </c>
      <c r="BA38" s="223">
        <f t="shared" si="0"/>
        <v>2056</v>
      </c>
    </row>
    <row r="39" spans="1:53" ht="14.1" customHeight="1">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77"/>
      <c r="Y39" s="177"/>
      <c r="Z39" s="166"/>
      <c r="AB39" s="166"/>
      <c r="AD39" s="177"/>
      <c r="AE39" s="166"/>
      <c r="AF39" s="166"/>
      <c r="AG39" s="166"/>
      <c r="AH39" s="166"/>
      <c r="AI39" s="166"/>
      <c r="AJ39" s="166"/>
      <c r="AK39" s="166"/>
      <c r="AL39" s="180"/>
      <c r="AM39" s="298" t="s">
        <v>267</v>
      </c>
      <c r="AN39" s="298" t="s">
        <v>267</v>
      </c>
      <c r="AO39" s="297" t="s">
        <v>267</v>
      </c>
      <c r="AP39" s="302"/>
      <c r="AQ39" s="178" t="s">
        <v>267</v>
      </c>
      <c r="AR39" s="178" t="s">
        <v>267</v>
      </c>
      <c r="AS39" s="178" t="s">
        <v>267</v>
      </c>
      <c r="AT39" s="195" t="s">
        <v>267</v>
      </c>
      <c r="AW39" s="166"/>
      <c r="AY39" s="182" t="s">
        <v>632</v>
      </c>
    </row>
    <row r="40" spans="1:53" ht="14.1" customHeight="1">
      <c r="A40" s="180"/>
      <c r="B40" s="180"/>
      <c r="C40" s="181"/>
      <c r="D40" s="181" t="s">
        <v>93</v>
      </c>
      <c r="E40" s="181" t="s">
        <v>94</v>
      </c>
      <c r="F40" s="182" t="s">
        <v>95</v>
      </c>
      <c r="G40" s="182" t="s">
        <v>96</v>
      </c>
      <c r="H40" s="182" t="s">
        <v>97</v>
      </c>
      <c r="I40" s="182" t="s">
        <v>98</v>
      </c>
      <c r="J40" s="182" t="s">
        <v>99</v>
      </c>
      <c r="K40" s="182" t="s">
        <v>437</v>
      </c>
      <c r="L40" s="182" t="s">
        <v>98</v>
      </c>
      <c r="M40" s="182" t="s">
        <v>99</v>
      </c>
      <c r="N40" s="182" t="s">
        <v>437</v>
      </c>
      <c r="O40" s="183" t="s">
        <v>438</v>
      </c>
      <c r="P40" s="182" t="s">
        <v>100</v>
      </c>
      <c r="Q40" s="182" t="s">
        <v>101</v>
      </c>
      <c r="R40" s="182" t="s">
        <v>102</v>
      </c>
      <c r="S40" s="182" t="s">
        <v>103</v>
      </c>
      <c r="T40" s="182" t="s">
        <v>625</v>
      </c>
      <c r="U40" s="183" t="s">
        <v>630</v>
      </c>
      <c r="V40" s="183" t="s">
        <v>733</v>
      </c>
      <c r="W40" s="182"/>
      <c r="X40" s="183" t="s">
        <v>742</v>
      </c>
      <c r="Y40" s="182" t="s">
        <v>104</v>
      </c>
      <c r="Z40" s="182" t="s">
        <v>478</v>
      </c>
      <c r="AA40" s="182" t="s">
        <v>479</v>
      </c>
      <c r="AB40" s="182" t="s">
        <v>480</v>
      </c>
      <c r="AC40" s="182" t="s">
        <v>481</v>
      </c>
      <c r="AD40" s="182" t="s">
        <v>482</v>
      </c>
      <c r="AE40" s="182" t="s">
        <v>569</v>
      </c>
      <c r="AF40" s="182" t="s">
        <v>570</v>
      </c>
      <c r="AG40" s="182"/>
      <c r="AH40" s="182" t="s">
        <v>572</v>
      </c>
      <c r="AI40" s="182" t="s">
        <v>574</v>
      </c>
      <c r="AJ40" s="182" t="s">
        <v>575</v>
      </c>
      <c r="AK40" s="182" t="s">
        <v>631</v>
      </c>
      <c r="AL40" s="180"/>
      <c r="AM40" s="182" t="s">
        <v>735</v>
      </c>
      <c r="AN40" s="299" t="s">
        <v>267</v>
      </c>
      <c r="AO40" s="182" t="s">
        <v>754</v>
      </c>
      <c r="AP40" s="302"/>
      <c r="AQ40" s="165" t="s">
        <v>317</v>
      </c>
      <c r="AR40" s="165" t="s">
        <v>317</v>
      </c>
      <c r="AS40" s="182" t="s">
        <v>52</v>
      </c>
      <c r="AT40" s="195" t="s">
        <v>267</v>
      </c>
      <c r="AU40" s="182" t="s">
        <v>759</v>
      </c>
      <c r="AW40" s="182" t="s">
        <v>735</v>
      </c>
      <c r="AY40" s="182" t="s">
        <v>541</v>
      </c>
    </row>
    <row r="41" spans="1:53" ht="14.1" customHeight="1">
      <c r="A41" s="180"/>
      <c r="B41" s="180"/>
      <c r="C41" s="180"/>
      <c r="D41" s="180"/>
      <c r="E41" s="180"/>
      <c r="F41" s="181" t="s">
        <v>105</v>
      </c>
      <c r="G41" s="181" t="s">
        <v>105</v>
      </c>
      <c r="H41" s="178" t="s">
        <v>267</v>
      </c>
      <c r="I41" s="181" t="s">
        <v>105</v>
      </c>
      <c r="J41" s="178" t="s">
        <v>267</v>
      </c>
      <c r="K41" s="181" t="s">
        <v>105</v>
      </c>
      <c r="L41" s="181"/>
      <c r="M41" s="181"/>
      <c r="N41" s="181"/>
      <c r="O41" s="181" t="s">
        <v>105</v>
      </c>
      <c r="P41" s="178" t="s">
        <v>267</v>
      </c>
      <c r="Q41" s="181" t="s">
        <v>105</v>
      </c>
      <c r="S41" s="181" t="s">
        <v>105</v>
      </c>
      <c r="T41" s="181" t="s">
        <v>105</v>
      </c>
      <c r="U41" s="181" t="s">
        <v>105</v>
      </c>
      <c r="V41" s="181" t="s">
        <v>105</v>
      </c>
      <c r="W41" s="181"/>
      <c r="X41" s="184"/>
      <c r="Y41" s="184"/>
      <c r="Z41" s="180"/>
      <c r="AA41" s="182" t="s">
        <v>743</v>
      </c>
      <c r="AB41" s="180"/>
      <c r="AC41" s="181" t="s">
        <v>105</v>
      </c>
      <c r="AD41" s="362" t="s">
        <v>746</v>
      </c>
      <c r="AE41" s="181" t="s">
        <v>105</v>
      </c>
      <c r="AF41" s="180"/>
      <c r="AG41" s="180"/>
      <c r="AH41" s="181" t="s">
        <v>105</v>
      </c>
      <c r="AI41" s="181" t="s">
        <v>105</v>
      </c>
      <c r="AJ41" s="181" t="s">
        <v>105</v>
      </c>
      <c r="AK41" s="181"/>
      <c r="AL41" s="180"/>
      <c r="AM41" s="299" t="s">
        <v>267</v>
      </c>
      <c r="AN41" s="303" t="s">
        <v>753</v>
      </c>
      <c r="AO41" s="181" t="s">
        <v>105</v>
      </c>
      <c r="AP41" s="304"/>
      <c r="AQ41" s="165" t="s">
        <v>336</v>
      </c>
      <c r="AR41" s="165" t="s">
        <v>318</v>
      </c>
      <c r="AS41" s="181" t="s">
        <v>758</v>
      </c>
      <c r="AT41" s="272" t="s">
        <v>382</v>
      </c>
      <c r="AU41" s="191" t="s">
        <v>284</v>
      </c>
      <c r="AW41" s="181" t="s">
        <v>105</v>
      </c>
      <c r="AY41" s="191" t="s">
        <v>326</v>
      </c>
    </row>
    <row r="42" spans="1:53" ht="14.1" customHeight="1">
      <c r="A42" s="180"/>
      <c r="B42" s="180"/>
      <c r="C42" s="180"/>
      <c r="D42" s="180"/>
      <c r="E42" s="180"/>
      <c r="F42" s="181" t="s">
        <v>571</v>
      </c>
      <c r="G42" s="181" t="s">
        <v>106</v>
      </c>
      <c r="H42" s="454" t="s">
        <v>435</v>
      </c>
      <c r="I42" s="182" t="s">
        <v>617</v>
      </c>
      <c r="J42" s="221" t="s">
        <v>354</v>
      </c>
      <c r="K42" s="180" t="s">
        <v>618</v>
      </c>
      <c r="L42" s="181"/>
      <c r="M42" s="181"/>
      <c r="N42" s="181"/>
      <c r="O42" s="181" t="s">
        <v>628</v>
      </c>
      <c r="P42" s="554" t="s">
        <v>608</v>
      </c>
      <c r="Q42" s="182" t="s">
        <v>627</v>
      </c>
      <c r="S42" s="221" t="s">
        <v>645</v>
      </c>
      <c r="T42" s="180" t="s">
        <v>626</v>
      </c>
      <c r="U42" s="182" t="s">
        <v>731</v>
      </c>
      <c r="V42" s="221" t="s">
        <v>725</v>
      </c>
      <c r="W42" s="180"/>
      <c r="X42" s="184"/>
      <c r="Y42" s="184"/>
      <c r="Z42" s="180"/>
      <c r="AA42" s="664" t="s">
        <v>497</v>
      </c>
      <c r="AB42" s="180"/>
      <c r="AC42" s="181" t="s">
        <v>745</v>
      </c>
      <c r="AD42" s="362" t="s">
        <v>747</v>
      </c>
      <c r="AE42" s="182" t="s">
        <v>748</v>
      </c>
      <c r="AF42" s="180"/>
      <c r="AG42" s="180"/>
      <c r="AH42" s="182" t="s">
        <v>750</v>
      </c>
      <c r="AI42" s="181" t="s">
        <v>751</v>
      </c>
      <c r="AJ42" s="181" t="s">
        <v>752</v>
      </c>
      <c r="AK42" s="178" t="s">
        <v>267</v>
      </c>
      <c r="AL42" s="180"/>
      <c r="AM42" s="299" t="s">
        <v>267</v>
      </c>
      <c r="AN42" s="303" t="s">
        <v>406</v>
      </c>
      <c r="AO42" s="181" t="s">
        <v>755</v>
      </c>
      <c r="AP42" s="304"/>
      <c r="AQ42" s="165" t="s">
        <v>337</v>
      </c>
      <c r="AR42" s="165" t="s">
        <v>209</v>
      </c>
      <c r="AS42" s="178" t="s">
        <v>756</v>
      </c>
      <c r="AT42" s="272" t="s">
        <v>383</v>
      </c>
      <c r="AU42" s="191" t="s">
        <v>326</v>
      </c>
      <c r="AW42" s="181" t="s">
        <v>734</v>
      </c>
      <c r="AY42" s="191" t="s">
        <v>325</v>
      </c>
    </row>
    <row r="43" spans="1:53" ht="14.1" customHeight="1">
      <c r="A43" s="180"/>
      <c r="B43" s="180"/>
      <c r="C43" s="180"/>
      <c r="D43" s="180"/>
      <c r="E43" s="180"/>
      <c r="F43" s="180"/>
      <c r="G43" s="180"/>
      <c r="H43" s="455" t="s">
        <v>486</v>
      </c>
      <c r="I43" s="180"/>
      <c r="J43" s="181" t="s">
        <v>48</v>
      </c>
      <c r="K43" s="181" t="s">
        <v>107</v>
      </c>
      <c r="L43" s="180"/>
      <c r="M43" s="180"/>
      <c r="N43" s="180"/>
      <c r="O43" s="180"/>
      <c r="P43" s="554" t="s">
        <v>609</v>
      </c>
      <c r="Q43" s="182"/>
      <c r="S43" s="178" t="s">
        <v>267</v>
      </c>
      <c r="T43" s="181" t="s">
        <v>568</v>
      </c>
      <c r="U43" s="181" t="s">
        <v>732</v>
      </c>
      <c r="V43" s="181"/>
      <c r="W43" s="181"/>
      <c r="X43" s="180"/>
      <c r="Y43" s="180"/>
      <c r="Z43" s="180"/>
      <c r="AA43" s="664"/>
      <c r="AB43" s="667" t="s">
        <v>270</v>
      </c>
      <c r="AC43" s="667"/>
      <c r="AD43" s="180"/>
      <c r="AE43" s="427" t="s">
        <v>749</v>
      </c>
      <c r="AF43" s="180"/>
      <c r="AG43" s="180"/>
      <c r="AH43" s="182" t="s">
        <v>570</v>
      </c>
      <c r="AI43" s="181" t="s">
        <v>715</v>
      </c>
      <c r="AJ43" s="181" t="s">
        <v>105</v>
      </c>
      <c r="AK43" s="178" t="s">
        <v>267</v>
      </c>
      <c r="AL43" s="180"/>
      <c r="AM43" s="299" t="s">
        <v>267</v>
      </c>
      <c r="AN43" s="305" t="s">
        <v>573</v>
      </c>
      <c r="AO43" s="299" t="s">
        <v>267</v>
      </c>
      <c r="AP43" s="306"/>
      <c r="AQ43" s="165" t="s">
        <v>338</v>
      </c>
      <c r="AR43" s="194" t="s">
        <v>332</v>
      </c>
      <c r="AS43" s="178" t="s">
        <v>757</v>
      </c>
      <c r="AT43" s="182" t="s">
        <v>334</v>
      </c>
      <c r="AU43" s="191" t="s">
        <v>325</v>
      </c>
      <c r="AY43" s="191" t="s">
        <v>114</v>
      </c>
    </row>
    <row r="44" spans="1:53" ht="14.1" customHeight="1">
      <c r="D44" s="185"/>
      <c r="H44" s="455" t="s">
        <v>615</v>
      </c>
      <c r="J44" s="165" t="s">
        <v>466</v>
      </c>
      <c r="P44" s="555" t="s">
        <v>622</v>
      </c>
      <c r="S44" s="221" t="s">
        <v>354</v>
      </c>
      <c r="AA44" s="376" t="s">
        <v>498</v>
      </c>
      <c r="AB44" s="665" t="s">
        <v>495</v>
      </c>
      <c r="AC44" s="665"/>
      <c r="AD44" s="339"/>
      <c r="AI44" s="181" t="s">
        <v>109</v>
      </c>
      <c r="AJ44" s="181" t="s">
        <v>110</v>
      </c>
      <c r="AK44" s="178" t="s">
        <v>267</v>
      </c>
      <c r="AL44" s="180"/>
      <c r="AM44" s="299" t="s">
        <v>493</v>
      </c>
      <c r="AN44" s="299" t="s">
        <v>267</v>
      </c>
      <c r="AO44" s="299" t="s">
        <v>493</v>
      </c>
      <c r="AP44" s="306"/>
      <c r="AR44" s="194" t="s">
        <v>333</v>
      </c>
      <c r="AS44" s="178" t="s">
        <v>267</v>
      </c>
      <c r="AT44" s="182" t="s">
        <v>335</v>
      </c>
      <c r="AU44" s="191" t="s">
        <v>114</v>
      </c>
      <c r="AY44" s="192" t="s">
        <v>714</v>
      </c>
    </row>
    <row r="45" spans="1:53" ht="14.1" customHeight="1">
      <c r="B45" s="187"/>
      <c r="C45" s="187"/>
      <c r="D45" s="187"/>
      <c r="E45" s="187"/>
      <c r="F45" s="187"/>
      <c r="G45" s="187"/>
      <c r="H45" s="455" t="s">
        <v>608</v>
      </c>
      <c r="I45" s="187"/>
      <c r="J45" s="358" t="s">
        <v>48</v>
      </c>
      <c r="L45" s="187"/>
      <c r="M45" s="187"/>
      <c r="N45" s="187"/>
      <c r="O45" s="187"/>
      <c r="P45" s="454" t="s">
        <v>554</v>
      </c>
      <c r="Q45" s="187"/>
      <c r="S45" s="181" t="s">
        <v>48</v>
      </c>
      <c r="AA45" s="221" t="s">
        <v>446</v>
      </c>
      <c r="AB45" s="666" t="s">
        <v>489</v>
      </c>
      <c r="AC45" s="666"/>
      <c r="AD45" s="339"/>
      <c r="AE45" s="181" t="s">
        <v>105</v>
      </c>
      <c r="AH45" s="181"/>
      <c r="AI45" s="181" t="s">
        <v>112</v>
      </c>
      <c r="AJ45" s="181" t="s">
        <v>278</v>
      </c>
      <c r="AK45" s="178" t="s">
        <v>267</v>
      </c>
      <c r="AL45" s="180"/>
      <c r="AM45" s="299" t="s">
        <v>501</v>
      </c>
      <c r="AN45" s="178" t="s">
        <v>267</v>
      </c>
      <c r="AO45" s="299" t="s">
        <v>501</v>
      </c>
      <c r="AP45" s="302"/>
      <c r="AR45" s="165" t="s">
        <v>330</v>
      </c>
      <c r="AS45" s="178" t="s">
        <v>267</v>
      </c>
      <c r="AT45" s="195" t="s">
        <v>267</v>
      </c>
      <c r="AU45" s="192" t="s">
        <v>779</v>
      </c>
      <c r="AY45" s="221" t="s">
        <v>385</v>
      </c>
    </row>
    <row r="46" spans="1:53" ht="12.75" customHeight="1" thickBot="1">
      <c r="B46" s="187"/>
      <c r="C46" s="187"/>
      <c r="D46" s="187"/>
      <c r="E46" s="187"/>
      <c r="F46" s="187"/>
      <c r="G46" s="187"/>
      <c r="H46" s="455" t="s">
        <v>610</v>
      </c>
      <c r="I46" s="187"/>
      <c r="J46" s="358" t="s">
        <v>351</v>
      </c>
      <c r="L46" s="187"/>
      <c r="M46" s="187"/>
      <c r="N46" s="187"/>
      <c r="O46" s="187"/>
      <c r="P46" s="455" t="s">
        <v>620</v>
      </c>
      <c r="Q46" s="187"/>
      <c r="S46" s="165" t="s">
        <v>466</v>
      </c>
      <c r="AA46" s="182" t="s">
        <v>744</v>
      </c>
      <c r="AB46" s="665" t="s">
        <v>488</v>
      </c>
      <c r="AC46" s="665"/>
      <c r="AE46" s="181" t="s">
        <v>109</v>
      </c>
      <c r="AH46" s="178" t="s">
        <v>267</v>
      </c>
      <c r="AI46" s="369" t="s">
        <v>487</v>
      </c>
      <c r="AJ46" s="165" t="s">
        <v>387</v>
      </c>
      <c r="AK46" s="178" t="s">
        <v>267</v>
      </c>
      <c r="AL46" s="180"/>
      <c r="AM46" s="178" t="s">
        <v>499</v>
      </c>
      <c r="AN46" s="178" t="s">
        <v>267</v>
      </c>
      <c r="AO46" s="178" t="s">
        <v>499</v>
      </c>
      <c r="AP46" s="302"/>
      <c r="AR46" s="165" t="s">
        <v>319</v>
      </c>
      <c r="AS46" s="178" t="s">
        <v>267</v>
      </c>
      <c r="AT46" s="195" t="s">
        <v>267</v>
      </c>
      <c r="AY46" s="221" t="s">
        <v>28</v>
      </c>
    </row>
    <row r="47" spans="1:53" ht="14.25" customHeight="1">
      <c r="A47" s="186" t="s">
        <v>45</v>
      </c>
      <c r="B47" s="187"/>
      <c r="C47" s="187"/>
      <c r="D47" s="187"/>
      <c r="E47" s="187"/>
      <c r="F47" s="187"/>
      <c r="G47" s="187"/>
      <c r="H47" s="187"/>
      <c r="I47" s="187"/>
      <c r="J47" s="187"/>
      <c r="K47" s="187"/>
      <c r="L47" s="187"/>
      <c r="M47" s="187"/>
      <c r="N47" s="187"/>
      <c r="O47" s="187"/>
      <c r="P47" s="455" t="s">
        <v>621</v>
      </c>
      <c r="Q47" s="187"/>
      <c r="R47" s="187"/>
      <c r="S47" s="358" t="s">
        <v>48</v>
      </c>
      <c r="AA47" s="182" t="s">
        <v>512</v>
      </c>
      <c r="AE47" s="181" t="s">
        <v>111</v>
      </c>
      <c r="AH47" s="188" t="s">
        <v>273</v>
      </c>
      <c r="AI47" s="369" t="s">
        <v>486</v>
      </c>
      <c r="AJ47" s="191" t="s">
        <v>388</v>
      </c>
      <c r="AK47" s="178"/>
      <c r="AL47" s="180"/>
      <c r="AM47" s="178" t="s">
        <v>500</v>
      </c>
      <c r="AN47" s="178" t="s">
        <v>267</v>
      </c>
      <c r="AO47" s="178" t="s">
        <v>500</v>
      </c>
      <c r="AP47" s="307"/>
      <c r="AR47" s="165" t="s">
        <v>345</v>
      </c>
      <c r="AS47" s="178" t="s">
        <v>267</v>
      </c>
      <c r="AT47" s="195" t="s">
        <v>267</v>
      </c>
      <c r="AU47" s="240" t="s">
        <v>52</v>
      </c>
      <c r="AW47" s="250" t="s">
        <v>327</v>
      </c>
      <c r="AX47" s="202" t="s">
        <v>788</v>
      </c>
      <c r="AZ47" s="254" t="s">
        <v>353</v>
      </c>
    </row>
    <row r="48" spans="1:53" ht="15.75" customHeight="1">
      <c r="A48" s="165" t="s">
        <v>46</v>
      </c>
      <c r="B48" s="187"/>
      <c r="C48" s="187"/>
      <c r="D48" s="187"/>
      <c r="E48" s="187"/>
      <c r="F48" s="187"/>
      <c r="G48" s="187"/>
      <c r="H48" s="187"/>
      <c r="I48" s="187"/>
      <c r="J48" s="187"/>
      <c r="K48" s="187"/>
      <c r="L48" s="187"/>
      <c r="M48" s="187"/>
      <c r="N48" s="187"/>
      <c r="O48" s="187"/>
      <c r="P48" s="455" t="s">
        <v>608</v>
      </c>
      <c r="Q48" s="187"/>
      <c r="R48" s="187"/>
      <c r="S48" s="358" t="s">
        <v>351</v>
      </c>
      <c r="AA48" s="375" t="s">
        <v>496</v>
      </c>
      <c r="AE48" s="182" t="s">
        <v>171</v>
      </c>
      <c r="AH48" s="165" t="s">
        <v>274</v>
      </c>
      <c r="AI48" s="181" t="s">
        <v>380</v>
      </c>
      <c r="AK48" s="178" t="s">
        <v>267</v>
      </c>
      <c r="AL48" s="180"/>
      <c r="AM48" s="178" t="s">
        <v>267</v>
      </c>
      <c r="AN48" s="178" t="s">
        <v>267</v>
      </c>
      <c r="AO48" s="178" t="s">
        <v>267</v>
      </c>
      <c r="AP48" s="307"/>
      <c r="AR48" s="165" t="s">
        <v>341</v>
      </c>
      <c r="AS48" s="213" t="s">
        <v>52</v>
      </c>
      <c r="AT48" s="196" t="s">
        <v>52</v>
      </c>
      <c r="AU48" s="241" t="s">
        <v>56</v>
      </c>
      <c r="AW48" s="251" t="s">
        <v>328</v>
      </c>
      <c r="AX48" s="203" t="s">
        <v>789</v>
      </c>
      <c r="AZ48" s="255" t="s">
        <v>361</v>
      </c>
    </row>
    <row r="49" spans="1:52" ht="14.1" customHeight="1" thickBot="1">
      <c r="A49" s="165" t="s">
        <v>47</v>
      </c>
      <c r="B49" s="187"/>
      <c r="C49" s="187"/>
      <c r="D49" s="187"/>
      <c r="E49" s="187"/>
      <c r="F49" s="187"/>
      <c r="G49" s="187"/>
      <c r="H49" s="187"/>
      <c r="I49" s="187"/>
      <c r="J49" s="187"/>
      <c r="K49" s="187"/>
      <c r="L49" s="187"/>
      <c r="M49" s="187"/>
      <c r="N49" s="187"/>
      <c r="O49" s="187"/>
      <c r="P49" s="455" t="s">
        <v>610</v>
      </c>
      <c r="Q49" s="187"/>
      <c r="R49" s="187"/>
      <c r="S49" s="187"/>
      <c r="T49" s="187"/>
      <c r="U49" s="187"/>
      <c r="V49" s="187"/>
      <c r="W49" s="187"/>
      <c r="AE49" s="181" t="s">
        <v>113</v>
      </c>
      <c r="AH49" s="165" t="s">
        <v>275</v>
      </c>
      <c r="AI49" s="181" t="s">
        <v>381</v>
      </c>
      <c r="AK49" s="178" t="s">
        <v>267</v>
      </c>
      <c r="AL49" s="180"/>
      <c r="AM49" s="299" t="s">
        <v>267</v>
      </c>
      <c r="AN49" s="178" t="s">
        <v>267</v>
      </c>
      <c r="AO49" s="178" t="s">
        <v>267</v>
      </c>
      <c r="AP49" s="307"/>
      <c r="AR49" s="165" t="s">
        <v>342</v>
      </c>
      <c r="AS49" s="214" t="s">
        <v>65</v>
      </c>
      <c r="AT49" s="197" t="s">
        <v>65</v>
      </c>
      <c r="AU49" s="241" t="s">
        <v>66</v>
      </c>
      <c r="AW49" s="251" t="s">
        <v>67</v>
      </c>
      <c r="AX49" s="203" t="s">
        <v>293</v>
      </c>
      <c r="AZ49" s="255" t="s">
        <v>368</v>
      </c>
    </row>
    <row r="50" spans="1:52" ht="14.1" customHeight="1">
      <c r="A50" s="165" t="s">
        <v>135</v>
      </c>
      <c r="B50" s="187"/>
      <c r="C50" s="187"/>
      <c r="D50" s="187"/>
      <c r="E50" s="187"/>
      <c r="F50" s="187"/>
      <c r="G50" s="187"/>
      <c r="H50" s="187"/>
      <c r="I50" s="187"/>
      <c r="J50" s="187"/>
      <c r="K50" s="187"/>
      <c r="L50" s="187"/>
      <c r="M50" s="187"/>
      <c r="N50" s="187"/>
      <c r="O50" s="187"/>
      <c r="Q50" s="187"/>
      <c r="R50" s="187"/>
      <c r="S50" s="187"/>
      <c r="V50" s="393" t="s">
        <v>650</v>
      </c>
      <c r="W50" s="514"/>
      <c r="X50" s="394"/>
      <c r="Y50" s="273"/>
      <c r="Z50" s="381" t="s">
        <v>270</v>
      </c>
      <c r="AA50" s="273"/>
      <c r="AB50" s="273"/>
      <c r="AC50" s="382"/>
      <c r="AE50" s="181" t="s">
        <v>115</v>
      </c>
      <c r="AH50" s="165" t="s">
        <v>483</v>
      </c>
      <c r="AI50" s="165" t="s">
        <v>712</v>
      </c>
      <c r="AK50" s="178" t="s">
        <v>267</v>
      </c>
      <c r="AL50" s="180"/>
      <c r="AM50" s="313" t="s">
        <v>398</v>
      </c>
      <c r="AN50" s="178" t="s">
        <v>267</v>
      </c>
      <c r="AO50" s="313" t="s">
        <v>301</v>
      </c>
      <c r="AP50" s="310"/>
      <c r="AR50" s="165" t="s">
        <v>343</v>
      </c>
      <c r="AS50" s="214" t="s">
        <v>78</v>
      </c>
      <c r="AT50" s="197" t="s">
        <v>204</v>
      </c>
      <c r="AU50" s="241" t="s">
        <v>79</v>
      </c>
      <c r="AW50" s="251" t="s">
        <v>80</v>
      </c>
      <c r="AX50" s="203" t="s">
        <v>294</v>
      </c>
      <c r="AZ50" s="255" t="s">
        <v>369</v>
      </c>
    </row>
    <row r="51" spans="1:52" ht="14.1" customHeight="1">
      <c r="A51" s="165" t="s">
        <v>261</v>
      </c>
      <c r="V51" s="383"/>
      <c r="W51" s="187"/>
      <c r="Z51" s="584" t="s">
        <v>268</v>
      </c>
      <c r="AA51" s="584"/>
      <c r="AC51" s="384"/>
      <c r="AE51" s="181" t="s">
        <v>108</v>
      </c>
      <c r="AH51" s="165" t="s">
        <v>277</v>
      </c>
      <c r="AJ51" s="260" t="s">
        <v>392</v>
      </c>
      <c r="AK51" s="210"/>
      <c r="AL51" s="180"/>
      <c r="AM51" s="316" t="s">
        <v>394</v>
      </c>
      <c r="AN51" s="314" t="s">
        <v>48</v>
      </c>
      <c r="AO51" s="315" t="s">
        <v>399</v>
      </c>
      <c r="AP51" s="311"/>
      <c r="AR51" s="165" t="s">
        <v>344</v>
      </c>
      <c r="AS51" s="214" t="s">
        <v>90</v>
      </c>
      <c r="AT51" s="197" t="s">
        <v>314</v>
      </c>
      <c r="AU51" s="241" t="s">
        <v>91</v>
      </c>
      <c r="AW51" s="252">
        <f>Investment</f>
        <v>1148200</v>
      </c>
      <c r="AX51" s="203" t="s">
        <v>366</v>
      </c>
      <c r="AZ51" s="255" t="s">
        <v>366</v>
      </c>
    </row>
    <row r="52" spans="1:52" ht="14.1" customHeight="1">
      <c r="A52" s="165" t="s">
        <v>262</v>
      </c>
      <c r="V52" s="383"/>
      <c r="W52" s="187"/>
      <c r="Z52" s="584" t="s">
        <v>269</v>
      </c>
      <c r="AA52" s="584"/>
      <c r="AC52" s="384"/>
      <c r="AH52" s="165" t="s">
        <v>329</v>
      </c>
      <c r="AJ52" s="261" t="s">
        <v>389</v>
      </c>
      <c r="AK52" s="215" t="s">
        <v>55</v>
      </c>
      <c r="AL52" s="180"/>
      <c r="AM52" s="316" t="s">
        <v>400</v>
      </c>
      <c r="AN52" s="315" t="s">
        <v>300</v>
      </c>
      <c r="AO52" s="315" t="s">
        <v>402</v>
      </c>
      <c r="AP52" s="307"/>
      <c r="AS52" s="214" t="s">
        <v>51</v>
      </c>
      <c r="AT52" s="198" t="s">
        <v>68</v>
      </c>
      <c r="AU52" s="242" t="s">
        <v>51</v>
      </c>
      <c r="AW52" s="251" t="s">
        <v>295</v>
      </c>
      <c r="AX52" s="266" t="s">
        <v>367</v>
      </c>
      <c r="AY52" s="253" t="s">
        <v>303</v>
      </c>
      <c r="AZ52" s="256" t="s">
        <v>370</v>
      </c>
    </row>
    <row r="53" spans="1:52" ht="16.5" customHeight="1">
      <c r="V53" s="395" t="s">
        <v>506</v>
      </c>
      <c r="W53" s="515"/>
      <c r="AC53" s="384"/>
      <c r="AE53" s="178" t="s">
        <v>267</v>
      </c>
      <c r="AH53" s="165" t="s">
        <v>331</v>
      </c>
      <c r="AI53" s="178" t="s">
        <v>267</v>
      </c>
      <c r="AJ53" s="261" t="s">
        <v>48</v>
      </c>
      <c r="AK53" s="216" t="s">
        <v>54</v>
      </c>
      <c r="AL53" s="180"/>
      <c r="AM53" s="316" t="s">
        <v>403</v>
      </c>
      <c r="AN53" s="315" t="s">
        <v>301</v>
      </c>
      <c r="AO53" s="316" t="s">
        <v>403</v>
      </c>
      <c r="AP53" s="312"/>
      <c r="AR53" s="228" t="s">
        <v>279</v>
      </c>
      <c r="AS53" s="239">
        <f>AS12</f>
        <v>1071413.0626476244</v>
      </c>
      <c r="AT53" s="199">
        <f t="shared" ref="AT53" si="48">AT12</f>
        <v>169624.64027640014</v>
      </c>
      <c r="AU53" s="243">
        <f t="shared" ref="AU53:AW53" si="49">AU12</f>
        <v>28511.122450458352</v>
      </c>
      <c r="AW53" s="163">
        <f t="shared" si="49"/>
        <v>2.483114653410412E-2</v>
      </c>
      <c r="AX53" s="176">
        <f>AX12</f>
        <v>4.9176248077535956E-3</v>
      </c>
      <c r="AY53" s="228" t="s">
        <v>279</v>
      </c>
      <c r="AZ53" s="258">
        <f>AZ12</f>
        <v>5.1448833116839454E-2</v>
      </c>
    </row>
    <row r="54" spans="1:52" ht="14.1" customHeight="1">
      <c r="A54" s="165" t="s">
        <v>164</v>
      </c>
      <c r="V54" s="385" t="s">
        <v>765</v>
      </c>
      <c r="W54" s="513"/>
      <c r="X54" s="513"/>
      <c r="Y54" s="513"/>
      <c r="Z54" s="513"/>
      <c r="AA54" s="513"/>
      <c r="AB54" s="513"/>
      <c r="AC54" s="386"/>
      <c r="AE54" s="188" t="s">
        <v>273</v>
      </c>
      <c r="AH54" s="181"/>
      <c r="AI54" s="188" t="s">
        <v>273</v>
      </c>
      <c r="AJ54" s="261" t="s">
        <v>390</v>
      </c>
      <c r="AK54" s="216" t="s">
        <v>77</v>
      </c>
      <c r="AL54" s="180"/>
      <c r="AM54" s="322">
        <f>AM6</f>
        <v>4.1759999999999999E-2</v>
      </c>
      <c r="AN54" s="315" t="s">
        <v>302</v>
      </c>
      <c r="AO54" s="322">
        <f>AM54</f>
        <v>4.1759999999999999E-2</v>
      </c>
      <c r="AP54" s="312"/>
      <c r="AR54" s="228" t="s">
        <v>280</v>
      </c>
      <c r="AS54" s="239">
        <f>AS17</f>
        <v>1103882.1359965038</v>
      </c>
      <c r="AT54" s="199">
        <f t="shared" ref="AT54" si="50">AT17</f>
        <v>387616.36887100618</v>
      </c>
      <c r="AU54" s="243">
        <f t="shared" ref="AU54:AW54" si="51">AU17</f>
        <v>176921.6528067668</v>
      </c>
      <c r="AW54" s="163">
        <f t="shared" si="51"/>
        <v>0.15408609371779028</v>
      </c>
      <c r="AX54" s="176">
        <f>AX17</f>
        <v>1.4434056302952802E-2</v>
      </c>
      <c r="AY54" s="228" t="s">
        <v>280</v>
      </c>
      <c r="AZ54" s="259">
        <f>AZ17</f>
        <v>0.10722451141248257</v>
      </c>
    </row>
    <row r="55" spans="1:52" ht="14.1" customHeight="1">
      <c r="A55" s="189" t="s">
        <v>9</v>
      </c>
      <c r="B55" s="190"/>
      <c r="C55" s="190"/>
      <c r="D55" s="190"/>
      <c r="E55" s="190"/>
      <c r="V55" s="385" t="s">
        <v>766</v>
      </c>
      <c r="W55" s="513"/>
      <c r="X55" s="513"/>
      <c r="Y55" s="513"/>
      <c r="Z55" s="513"/>
      <c r="AA55" s="513"/>
      <c r="AB55" s="513"/>
      <c r="AC55" s="386"/>
      <c r="AE55" s="165" t="s">
        <v>274</v>
      </c>
      <c r="AH55" s="181"/>
      <c r="AI55" s="165" t="s">
        <v>274</v>
      </c>
      <c r="AJ55" s="261"/>
      <c r="AK55" s="247" t="s">
        <v>89</v>
      </c>
      <c r="AL55" s="180"/>
      <c r="AM55" s="247" t="s">
        <v>89</v>
      </c>
      <c r="AN55" s="247" t="s">
        <v>89</v>
      </c>
      <c r="AO55" s="247" t="s">
        <v>89</v>
      </c>
      <c r="AP55" s="312"/>
      <c r="AR55" s="228" t="s">
        <v>281</v>
      </c>
      <c r="AS55" s="239">
        <f>AS22</f>
        <v>1137447.290647988</v>
      </c>
      <c r="AT55" s="199">
        <f t="shared" ref="AT55" si="52">AT22</f>
        <v>607944.61378314858</v>
      </c>
      <c r="AU55" s="243">
        <f t="shared" ref="AU55:AW55" si="53">AU22</f>
        <v>343526.53108203667</v>
      </c>
      <c r="AW55" s="163">
        <f t="shared" si="53"/>
        <v>0.29918701539978809</v>
      </c>
      <c r="AX55" s="176">
        <f>AX22</f>
        <v>1.7602373861078213E-2</v>
      </c>
      <c r="AY55" s="228" t="s">
        <v>281</v>
      </c>
      <c r="AZ55" s="259">
        <f>AZ22</f>
        <v>0.10440400676463657</v>
      </c>
    </row>
    <row r="56" spans="1:52" ht="14.1" customHeight="1">
      <c r="V56" s="385"/>
      <c r="W56" s="513"/>
      <c r="X56" s="513"/>
      <c r="Y56" s="513"/>
      <c r="Z56" s="513"/>
      <c r="AA56" s="513"/>
      <c r="AB56" s="391"/>
      <c r="AC56" s="386"/>
      <c r="AE56" s="165" t="s">
        <v>275</v>
      </c>
      <c r="AI56" s="165" t="s">
        <v>275</v>
      </c>
      <c r="AJ56" s="528" t="s">
        <v>392</v>
      </c>
      <c r="AK56" s="220">
        <f>AK12</f>
        <v>-80361.003913083405</v>
      </c>
      <c r="AL56" s="180"/>
      <c r="AM56" s="320">
        <f>AM12</f>
        <v>-89275.757655780573</v>
      </c>
      <c r="AN56" s="319">
        <f>AN12</f>
        <v>105298.05980283392</v>
      </c>
      <c r="AO56" s="319">
        <f>AO12</f>
        <v>96383.306060136747</v>
      </c>
      <c r="AP56" s="223" t="s">
        <v>303</v>
      </c>
      <c r="AR56" s="228" t="s">
        <v>282</v>
      </c>
      <c r="AS56" s="239">
        <f>AS27</f>
        <v>1172150.2928264448</v>
      </c>
      <c r="AT56" s="199">
        <f t="shared" ref="AT56" si="54">AT27</f>
        <v>860418.85369125579</v>
      </c>
      <c r="AU56" s="243">
        <f t="shared" ref="AU56:AW56" si="55">AU27</f>
        <v>540239.92544812895</v>
      </c>
      <c r="AW56" s="163">
        <f t="shared" si="55"/>
        <v>0.47051029911873277</v>
      </c>
      <c r="AX56" s="176">
        <f>AX27</f>
        <v>1.9467542805322591E-2</v>
      </c>
      <c r="AY56" s="228" t="s">
        <v>282</v>
      </c>
      <c r="AZ56" s="259">
        <f>AZ27</f>
        <v>9.7279176918438903E-2</v>
      </c>
    </row>
    <row r="57" spans="1:52" ht="14.1" customHeight="1">
      <c r="V57" s="385" t="s">
        <v>507</v>
      </c>
      <c r="W57" s="513"/>
      <c r="X57" s="513"/>
      <c r="Y57" s="513"/>
      <c r="Z57" s="513"/>
      <c r="AA57" s="513"/>
      <c r="AB57" s="391"/>
      <c r="AC57" s="386"/>
      <c r="AE57" s="165" t="s">
        <v>483</v>
      </c>
      <c r="AI57" s="165" t="s">
        <v>276</v>
      </c>
      <c r="AJ57" s="528" t="s">
        <v>280</v>
      </c>
      <c r="AK57" s="220">
        <f>AK17</f>
        <v>-155246.78618281311</v>
      </c>
      <c r="AL57" s="180"/>
      <c r="AM57" s="320">
        <f>AM17</f>
        <v>-193565.10502863582</v>
      </c>
      <c r="AN57" s="319">
        <f>AN17</f>
        <v>221239.51681026304</v>
      </c>
      <c r="AO57" s="319">
        <f>AO17</f>
        <v>182921.19796444033</v>
      </c>
      <c r="AP57" s="223" t="s">
        <v>280</v>
      </c>
      <c r="AR57" s="228" t="s">
        <v>283</v>
      </c>
      <c r="AS57" s="239">
        <f>AS32</f>
        <v>1208034.6820760355</v>
      </c>
      <c r="AT57" s="199">
        <f t="shared" ref="AT57" si="56">AT32</f>
        <v>1151838.4949766903</v>
      </c>
      <c r="AU57" s="243">
        <f t="shared" ref="AU57:AW57" si="57">AU32</f>
        <v>771068.96419572248</v>
      </c>
      <c r="AW57" s="163">
        <f t="shared" si="57"/>
        <v>0.67154586674422789</v>
      </c>
      <c r="AX57" s="176">
        <f>AX32</f>
        <v>2.0762558835360378E-2</v>
      </c>
      <c r="AY57" s="228" t="s">
        <v>283</v>
      </c>
      <c r="AZ57" s="259">
        <f>AZ32</f>
        <v>9.0440822326547154E-2</v>
      </c>
    </row>
    <row r="58" spans="1:52" ht="14.1" customHeight="1" thickBot="1">
      <c r="A58" s="122" t="s">
        <v>242</v>
      </c>
      <c r="V58" s="385" t="s">
        <v>767</v>
      </c>
      <c r="W58" s="513"/>
      <c r="X58" s="513"/>
      <c r="Y58" s="513"/>
      <c r="Z58" s="513"/>
      <c r="AA58" s="513"/>
      <c r="AB58" s="513"/>
      <c r="AC58" s="386"/>
      <c r="AE58" s="165" t="s">
        <v>277</v>
      </c>
      <c r="AI58" s="165" t="s">
        <v>277</v>
      </c>
      <c r="AJ58" s="528" t="s">
        <v>281</v>
      </c>
      <c r="AK58" s="220">
        <f>AK22</f>
        <v>-213826.81651321129</v>
      </c>
      <c r="AL58" s="180"/>
      <c r="AM58" s="320">
        <f>AM22</f>
        <v>-302449.1143378641</v>
      </c>
      <c r="AN58" s="319">
        <f>AN22</f>
        <v>354279.24043404864</v>
      </c>
      <c r="AO58" s="319">
        <f>AO22</f>
        <v>265656.94260939583</v>
      </c>
      <c r="AP58" s="223" t="s">
        <v>281</v>
      </c>
      <c r="AR58" s="228" t="s">
        <v>291</v>
      </c>
      <c r="AS58" s="239">
        <f>AS37</f>
        <v>1245145.8526986679</v>
      </c>
      <c r="AT58" s="199">
        <f t="shared" ref="AT58" si="58">AT37</f>
        <v>0</v>
      </c>
      <c r="AU58" s="408">
        <f t="shared" ref="AU58:AW58" si="59">AU37</f>
        <v>1029343.4907160169</v>
      </c>
      <c r="AW58" s="163">
        <f t="shared" si="59"/>
        <v>0.89648448938862291</v>
      </c>
      <c r="AX58" s="176">
        <f>AX37</f>
        <v>2.1562580549395083E-2</v>
      </c>
      <c r="AY58" s="228" t="s">
        <v>291</v>
      </c>
      <c r="AZ58" s="259">
        <f>AZ37</f>
        <v>8.4162051491865952E-2</v>
      </c>
    </row>
    <row r="59" spans="1:52" ht="14.1" customHeight="1">
      <c r="A59" s="57" t="s">
        <v>10</v>
      </c>
      <c r="V59" s="385" t="s">
        <v>768</v>
      </c>
      <c r="W59" s="513"/>
      <c r="X59" s="513"/>
      <c r="Y59" s="513"/>
      <c r="Z59" s="513"/>
      <c r="AA59" s="513"/>
      <c r="AB59" s="513"/>
      <c r="AC59" s="386"/>
      <c r="AE59" s="165" t="s">
        <v>329</v>
      </c>
      <c r="AI59" s="165" t="s">
        <v>329</v>
      </c>
      <c r="AJ59" s="528" t="s">
        <v>282</v>
      </c>
      <c r="AK59" s="220">
        <f>AK27</f>
        <v>-276665.22728143987</v>
      </c>
      <c r="AL59" s="180"/>
      <c r="AM59" s="320">
        <f>AM27</f>
        <v>-440744.22066156351</v>
      </c>
      <c r="AN59" s="319">
        <f>AN27</f>
        <v>516289.63262168405</v>
      </c>
      <c r="AO59" s="319">
        <f>AO27</f>
        <v>352210.63924156042</v>
      </c>
      <c r="AP59" s="223" t="s">
        <v>282</v>
      </c>
      <c r="AT59" s="178" t="s">
        <v>267</v>
      </c>
      <c r="AU59" s="409" t="s">
        <v>299</v>
      </c>
      <c r="AZ59" s="178" t="s">
        <v>267</v>
      </c>
    </row>
    <row r="60" spans="1:52" ht="14.1" customHeight="1">
      <c r="V60" s="385" t="s">
        <v>514</v>
      </c>
      <c r="W60" s="513"/>
      <c r="X60" s="513"/>
      <c r="Y60" s="513"/>
      <c r="Z60" s="513"/>
      <c r="AA60" s="513"/>
      <c r="AB60" s="513"/>
      <c r="AC60" s="386"/>
      <c r="AE60" s="165" t="s">
        <v>331</v>
      </c>
      <c r="AI60" s="165" t="s">
        <v>331</v>
      </c>
      <c r="AJ60" s="528" t="s">
        <v>283</v>
      </c>
      <c r="AK60" s="220">
        <f>AK32</f>
        <v>-345560.72551044589</v>
      </c>
      <c r="AL60" s="180"/>
      <c r="AM60" s="320">
        <f>AM32</f>
        <v>-617116.08128104219</v>
      </c>
      <c r="AN60" s="319">
        <f>AN32</f>
        <v>711234.28211968695</v>
      </c>
      <c r="AO60" s="319">
        <f>AO32</f>
        <v>439678.92634909065</v>
      </c>
      <c r="AP60" s="223" t="s">
        <v>283</v>
      </c>
      <c r="AT60" s="164" t="s">
        <v>772</v>
      </c>
      <c r="AU60" s="410" t="s">
        <v>48</v>
      </c>
      <c r="AZ60" s="178" t="s">
        <v>267</v>
      </c>
    </row>
    <row r="61" spans="1:52" ht="14.1" customHeight="1" thickBot="1">
      <c r="A61" s="649" t="s">
        <v>543</v>
      </c>
      <c r="B61" s="649"/>
      <c r="C61" s="649"/>
      <c r="D61" s="649"/>
      <c r="E61" s="649"/>
      <c r="F61" s="649"/>
      <c r="G61" s="649"/>
      <c r="H61" s="414"/>
      <c r="I61" s="668" t="s">
        <v>761</v>
      </c>
      <c r="J61" s="668"/>
      <c r="K61" s="668"/>
      <c r="L61" s="583"/>
      <c r="M61" s="583"/>
      <c r="O61" s="414"/>
      <c r="P61" s="414"/>
      <c r="V61" s="385" t="s">
        <v>515</v>
      </c>
      <c r="W61" s="513"/>
      <c r="X61" s="513"/>
      <c r="Y61" s="513"/>
      <c r="Z61" s="513"/>
      <c r="AA61" s="513"/>
      <c r="AB61" s="513"/>
      <c r="AC61" s="386"/>
      <c r="AJ61" s="528" t="s">
        <v>291</v>
      </c>
      <c r="AK61" s="220">
        <f>AK37</f>
        <v>-124397.36961278404</v>
      </c>
      <c r="AL61" s="180"/>
      <c r="AM61" s="321">
        <f>AM37</f>
        <v>-511953.59188998182</v>
      </c>
      <c r="AN61" s="319">
        <f>AN37</f>
        <v>932397.63801734883</v>
      </c>
      <c r="AO61" s="319">
        <f>AO37</f>
        <v>544841.41574015096</v>
      </c>
      <c r="AP61" s="223" t="s">
        <v>291</v>
      </c>
      <c r="AT61" s="164" t="s">
        <v>717</v>
      </c>
      <c r="AU61" s="411" t="s">
        <v>209</v>
      </c>
      <c r="AZ61" s="164" t="s">
        <v>722</v>
      </c>
    </row>
    <row r="62" spans="1:52" ht="14.1" customHeight="1">
      <c r="A62" s="649"/>
      <c r="B62" s="649"/>
      <c r="C62" s="649"/>
      <c r="D62" s="649"/>
      <c r="E62" s="649"/>
      <c r="F62" s="649"/>
      <c r="G62" s="649"/>
      <c r="H62" s="414"/>
      <c r="I62" s="585" t="s">
        <v>782</v>
      </c>
      <c r="J62" s="53"/>
      <c r="K62" s="53"/>
      <c r="L62" s="414"/>
      <c r="M62" s="414"/>
      <c r="O62" s="414"/>
      <c r="P62" s="414"/>
      <c r="V62" s="389"/>
      <c r="W62" s="391"/>
      <c r="X62" s="391"/>
      <c r="Y62" s="391"/>
      <c r="Z62" s="391"/>
      <c r="AA62" s="391"/>
      <c r="AB62" s="391"/>
      <c r="AC62" s="386"/>
      <c r="AL62" s="180"/>
      <c r="AT62" s="164"/>
      <c r="AU62" s="178" t="s">
        <v>267</v>
      </c>
      <c r="AZ62" s="164" t="s">
        <v>718</v>
      </c>
    </row>
    <row r="63" spans="1:52" ht="14.1" customHeight="1">
      <c r="A63" s="649"/>
      <c r="B63" s="649"/>
      <c r="C63" s="649"/>
      <c r="D63" s="649"/>
      <c r="E63" s="649"/>
      <c r="F63" s="649"/>
      <c r="G63" s="649"/>
      <c r="H63" s="414"/>
      <c r="I63" s="585" t="s">
        <v>783</v>
      </c>
      <c r="J63" s="53"/>
      <c r="K63" s="53"/>
      <c r="L63" s="414"/>
      <c r="M63" s="414"/>
      <c r="O63" s="414"/>
      <c r="P63" s="414"/>
      <c r="V63" s="385" t="s">
        <v>769</v>
      </c>
      <c r="W63" s="513"/>
      <c r="X63" s="513"/>
      <c r="Y63" s="513"/>
      <c r="Z63" s="513"/>
      <c r="AA63" s="513"/>
      <c r="AB63" s="513"/>
      <c r="AC63" s="386"/>
      <c r="AL63" s="180"/>
      <c r="AU63" s="164" t="s">
        <v>722</v>
      </c>
      <c r="AZ63" s="164" t="s">
        <v>721</v>
      </c>
    </row>
    <row r="64" spans="1:52" ht="14.1" customHeight="1">
      <c r="A64" s="649"/>
      <c r="B64" s="649"/>
      <c r="C64" s="649"/>
      <c r="D64" s="649"/>
      <c r="E64" s="649"/>
      <c r="F64" s="649"/>
      <c r="G64" s="649"/>
      <c r="H64" s="414"/>
      <c r="I64" s="585" t="s">
        <v>778</v>
      </c>
      <c r="J64" s="490"/>
      <c r="K64" s="53"/>
      <c r="L64" s="53"/>
      <c r="M64" s="414"/>
      <c r="N64" s="414"/>
      <c r="O64" s="414"/>
      <c r="P64" s="414"/>
      <c r="V64" s="385" t="s">
        <v>770</v>
      </c>
      <c r="W64" s="513"/>
      <c r="X64" s="513"/>
      <c r="Y64" s="513"/>
      <c r="Z64" s="513"/>
      <c r="AA64" s="513"/>
      <c r="AB64" s="513"/>
      <c r="AC64" s="386"/>
      <c r="AL64" s="180"/>
      <c r="AU64" s="164" t="s">
        <v>718</v>
      </c>
      <c r="AZ64" s="164" t="s">
        <v>28</v>
      </c>
    </row>
    <row r="65" spans="1:52" ht="14.1" customHeight="1">
      <c r="A65" s="649"/>
      <c r="B65" s="649"/>
      <c r="C65" s="649"/>
      <c r="D65" s="649"/>
      <c r="E65" s="649"/>
      <c r="F65" s="649"/>
      <c r="G65" s="649"/>
      <c r="H65" s="414"/>
      <c r="I65" s="585"/>
      <c r="J65" s="414"/>
      <c r="K65" s="414"/>
      <c r="L65" s="414"/>
      <c r="M65" s="414"/>
      <c r="N65" s="414"/>
      <c r="O65" s="414"/>
      <c r="P65" s="414"/>
      <c r="V65" s="385" t="s">
        <v>516</v>
      </c>
      <c r="W65" s="513"/>
      <c r="X65" s="513"/>
      <c r="Y65" s="513"/>
      <c r="Z65" s="513"/>
      <c r="AA65" s="513"/>
      <c r="AB65" s="513"/>
      <c r="AC65" s="386"/>
      <c r="AL65" s="180"/>
      <c r="AU65" s="164" t="s">
        <v>721</v>
      </c>
      <c r="AZ65" s="164" t="s">
        <v>719</v>
      </c>
    </row>
    <row r="66" spans="1:52" ht="14.1" customHeight="1">
      <c r="A66" s="649"/>
      <c r="B66" s="649"/>
      <c r="C66" s="649"/>
      <c r="D66" s="649"/>
      <c r="E66" s="649"/>
      <c r="F66" s="649"/>
      <c r="G66" s="649"/>
      <c r="H66" s="414"/>
      <c r="I66" s="414"/>
      <c r="J66" s="414"/>
      <c r="K66" s="414"/>
      <c r="L66" s="414"/>
      <c r="M66" s="414"/>
      <c r="N66" s="414"/>
      <c r="O66" s="414"/>
      <c r="P66" s="414"/>
      <c r="V66" s="385" t="s">
        <v>762</v>
      </c>
      <c r="W66" s="513"/>
      <c r="X66" s="513"/>
      <c r="Y66" s="513"/>
      <c r="Z66" s="513" t="s">
        <v>509</v>
      </c>
      <c r="AA66" s="513"/>
      <c r="AB66" s="513"/>
      <c r="AC66" s="386"/>
      <c r="AL66" s="180"/>
      <c r="AU66" s="164" t="s">
        <v>28</v>
      </c>
      <c r="AZ66" s="164" t="s">
        <v>720</v>
      </c>
    </row>
    <row r="67" spans="1:52" ht="14.1" customHeight="1">
      <c r="A67" s="649"/>
      <c r="B67" s="649"/>
      <c r="C67" s="649"/>
      <c r="D67" s="649"/>
      <c r="E67" s="649"/>
      <c r="F67" s="649"/>
      <c r="G67" s="649"/>
      <c r="H67" s="414"/>
      <c r="I67" s="414"/>
      <c r="J67" s="414"/>
      <c r="K67" s="414"/>
      <c r="L67" s="414"/>
      <c r="M67" s="414"/>
      <c r="N67" s="414"/>
      <c r="O67" s="414"/>
      <c r="P67" s="414"/>
      <c r="V67" s="385" t="s">
        <v>508</v>
      </c>
      <c r="W67" s="513"/>
      <c r="X67" s="391"/>
      <c r="Y67" s="391"/>
      <c r="Z67" s="391"/>
      <c r="AA67" s="391"/>
      <c r="AB67" s="391"/>
      <c r="AC67" s="386"/>
      <c r="AL67" s="180"/>
      <c r="AU67" s="164" t="s">
        <v>719</v>
      </c>
    </row>
    <row r="68" spans="1:52" ht="14.1" customHeight="1">
      <c r="A68" s="649"/>
      <c r="B68" s="649"/>
      <c r="C68" s="649"/>
      <c r="D68" s="649"/>
      <c r="E68" s="649"/>
      <c r="F68" s="649"/>
      <c r="G68" s="649"/>
      <c r="H68" s="414"/>
      <c r="I68" s="414"/>
      <c r="J68" s="414"/>
      <c r="K68" s="414"/>
      <c r="L68" s="414"/>
      <c r="M68" s="414"/>
      <c r="N68" s="414"/>
      <c r="O68" s="414"/>
      <c r="P68" s="414"/>
      <c r="V68" s="385" t="s">
        <v>763</v>
      </c>
      <c r="W68" s="513"/>
      <c r="X68" s="513"/>
      <c r="Y68" s="391"/>
      <c r="Z68" s="391"/>
      <c r="AA68" s="391"/>
      <c r="AB68" s="391"/>
      <c r="AC68" s="386"/>
      <c r="AL68" s="180"/>
      <c r="AU68" s="164" t="s">
        <v>720</v>
      </c>
    </row>
    <row r="69" spans="1:52" ht="14.1" customHeight="1">
      <c r="A69" s="649"/>
      <c r="B69" s="649"/>
      <c r="C69" s="649"/>
      <c r="D69" s="649"/>
      <c r="E69" s="649"/>
      <c r="F69" s="649"/>
      <c r="G69" s="649"/>
      <c r="H69" s="414"/>
      <c r="I69" s="414"/>
      <c r="J69" s="414"/>
      <c r="K69" s="414"/>
      <c r="L69" s="414"/>
      <c r="M69" s="414"/>
      <c r="N69" s="414"/>
      <c r="O69" s="414"/>
      <c r="P69" s="414"/>
      <c r="V69" s="385" t="s">
        <v>764</v>
      </c>
      <c r="W69" s="513"/>
      <c r="X69" s="513"/>
      <c r="Y69" s="513"/>
      <c r="Z69" s="513"/>
      <c r="AA69" s="513"/>
      <c r="AB69" s="391"/>
      <c r="AC69" s="386"/>
    </row>
    <row r="70" spans="1:52" ht="14.1" customHeight="1">
      <c r="A70" s="649"/>
      <c r="B70" s="649"/>
      <c r="C70" s="649"/>
      <c r="D70" s="649"/>
      <c r="E70" s="649"/>
      <c r="F70" s="649"/>
      <c r="G70" s="649"/>
      <c r="H70" s="414"/>
      <c r="I70" s="414"/>
      <c r="J70" s="414"/>
      <c r="K70" s="414"/>
      <c r="L70" s="414"/>
      <c r="M70" s="414"/>
      <c r="N70" s="414"/>
      <c r="O70" s="414"/>
      <c r="P70" s="414"/>
      <c r="V70" s="385" t="s">
        <v>653</v>
      </c>
      <c r="W70" s="513"/>
      <c r="X70" s="513"/>
      <c r="Y70" s="513"/>
      <c r="Z70" s="391"/>
      <c r="AA70" s="391"/>
      <c r="AB70" s="391"/>
      <c r="AC70" s="386"/>
    </row>
    <row r="71" spans="1:52" ht="14.1" customHeight="1">
      <c r="A71" s="649"/>
      <c r="B71" s="649"/>
      <c r="C71" s="649"/>
      <c r="D71" s="649"/>
      <c r="E71" s="649"/>
      <c r="F71" s="649"/>
      <c r="G71" s="649"/>
      <c r="H71" s="414"/>
      <c r="I71" s="414"/>
      <c r="J71" s="414"/>
      <c r="K71" s="414"/>
      <c r="L71" s="414"/>
      <c r="M71" s="414"/>
      <c r="N71" s="414"/>
      <c r="O71" s="414"/>
      <c r="P71" s="414"/>
      <c r="V71" s="385" t="s">
        <v>652</v>
      </c>
      <c r="W71" s="513"/>
      <c r="X71" s="513"/>
      <c r="Y71" s="513"/>
      <c r="Z71" s="391"/>
      <c r="AA71" s="391"/>
      <c r="AB71" s="391"/>
      <c r="AC71" s="386"/>
    </row>
    <row r="72" spans="1:52" ht="14.1" customHeight="1">
      <c r="V72" s="385" t="s">
        <v>513</v>
      </c>
      <c r="W72" s="513"/>
      <c r="X72" s="513"/>
      <c r="Y72" s="513"/>
      <c r="Z72" s="513"/>
      <c r="AA72" s="392"/>
      <c r="AB72" s="392"/>
      <c r="AC72" s="386"/>
    </row>
    <row r="73" spans="1:52" ht="14.1" customHeight="1">
      <c r="V73" s="385"/>
      <c r="W73" s="513"/>
      <c r="X73" s="513"/>
      <c r="Y73" s="513"/>
      <c r="Z73" s="513"/>
      <c r="AA73" s="513"/>
      <c r="AB73" s="513"/>
      <c r="AC73" s="386"/>
    </row>
    <row r="74" spans="1:52" ht="14.1" customHeight="1">
      <c r="V74" s="385" t="s">
        <v>510</v>
      </c>
      <c r="W74" s="513"/>
      <c r="X74" s="513"/>
      <c r="Y74" s="513"/>
      <c r="Z74" s="513"/>
      <c r="AA74" s="513"/>
      <c r="AB74" s="513"/>
      <c r="AC74" s="386"/>
    </row>
    <row r="75" spans="1:52" ht="16.8" customHeight="1">
      <c r="V75" s="385" t="s">
        <v>771</v>
      </c>
      <c r="W75" s="513"/>
      <c r="X75" s="513"/>
      <c r="Y75" s="513"/>
      <c r="Z75" s="513"/>
      <c r="AA75" s="513"/>
      <c r="AB75" s="513"/>
      <c r="AC75" s="386"/>
    </row>
    <row r="76" spans="1:52" ht="14.1" customHeight="1" thickBot="1">
      <c r="V76" s="390" t="s">
        <v>517</v>
      </c>
      <c r="W76" s="387"/>
      <c r="X76" s="387"/>
      <c r="Y76" s="387"/>
      <c r="Z76" s="387"/>
      <c r="AA76" s="387"/>
      <c r="AB76" s="387"/>
      <c r="AC76" s="388"/>
    </row>
    <row r="77" spans="1:52" ht="14.1" customHeight="1">
      <c r="C77" s="165" t="s">
        <v>511</v>
      </c>
    </row>
  </sheetData>
  <sheetProtection selectLockedCells="1" selectUnlockedCells="1"/>
  <mergeCells count="19">
    <mergeCell ref="AW1:AZ1"/>
    <mergeCell ref="X1:AE1"/>
    <mergeCell ref="AH1:AK1"/>
    <mergeCell ref="D3:K3"/>
    <mergeCell ref="L3:R3"/>
    <mergeCell ref="S1:T1"/>
    <mergeCell ref="S2:T2"/>
    <mergeCell ref="U1:V1"/>
    <mergeCell ref="U2:V2"/>
    <mergeCell ref="A61:G71"/>
    <mergeCell ref="AQ1:AU1"/>
    <mergeCell ref="AM1:AO1"/>
    <mergeCell ref="Z3:AA3"/>
    <mergeCell ref="AA42:AA43"/>
    <mergeCell ref="AB44:AC44"/>
    <mergeCell ref="AB45:AC45"/>
    <mergeCell ref="AB43:AC43"/>
    <mergeCell ref="AB46:AC46"/>
    <mergeCell ref="I61:K61"/>
  </mergeCells>
  <hyperlinks>
    <hyperlink ref="A59" r:id="rId1" xr:uid="{00000000-0004-0000-0200-000000000000}"/>
  </hyperlinks>
  <pageMargins left="0.78749999999999998" right="0.78749999999999998" top="1.0527777777777778" bottom="1.0527777777777778" header="0.78749999999999998" footer="0.78749999999999998"/>
  <pageSetup paperSize="9" firstPageNumber="0" orientation="portrait" horizontalDpi="300" verticalDpi="300" r:id="rId2"/>
  <headerFooter alignWithMargins="0">
    <oddHeader>&amp;C&amp;"Times New Roman,Regular"&amp;12&amp;A</oddHeader>
    <oddFooter>&amp;C&amp;"Times New Roman,Regular"&amp;12Page &amp;P</oddFooter>
  </headerFooter>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2"/>
  <sheetViews>
    <sheetView zoomScale="95" zoomScaleNormal="95" workbookViewId="0">
      <pane xSplit="2" ySplit="3" topLeftCell="C4" activePane="bottomRight" state="frozen"/>
      <selection pane="topRight" activeCell="C1" sqref="C1"/>
      <selection pane="bottomLeft" activeCell="A4" sqref="A4"/>
      <selection pane="bottomRight" activeCell="C28" sqref="C28"/>
    </sheetView>
  </sheetViews>
  <sheetFormatPr baseColWidth="10" defaultRowHeight="13.2"/>
  <cols>
    <col min="1" max="1" width="4.21875" customWidth="1"/>
    <col min="2" max="2" width="35.88671875" customWidth="1"/>
    <col min="3" max="32" width="13" bestFit="1" customWidth="1"/>
  </cols>
  <sheetData>
    <row r="1" spans="1:32" ht="18">
      <c r="A1" s="65"/>
      <c r="B1" s="587" t="s">
        <v>49</v>
      </c>
      <c r="C1" s="85">
        <v>1</v>
      </c>
      <c r="D1" s="83">
        <f>C1+1</f>
        <v>2</v>
      </c>
      <c r="E1" s="83">
        <f t="shared" ref="E1" si="0">D1+1</f>
        <v>3</v>
      </c>
      <c r="F1" s="83">
        <f t="shared" ref="F1" si="1">E1+1</f>
        <v>4</v>
      </c>
      <c r="G1" s="83">
        <f t="shared" ref="G1" si="2">F1+1</f>
        <v>5</v>
      </c>
      <c r="H1" s="83">
        <f t="shared" ref="H1" si="3">G1+1</f>
        <v>6</v>
      </c>
      <c r="I1" s="83">
        <f t="shared" ref="I1" si="4">H1+1</f>
        <v>7</v>
      </c>
      <c r="J1" s="83">
        <f t="shared" ref="J1" si="5">I1+1</f>
        <v>8</v>
      </c>
      <c r="K1" s="83">
        <f t="shared" ref="K1" si="6">J1+1</f>
        <v>9</v>
      </c>
      <c r="L1" s="83">
        <f t="shared" ref="L1" si="7">K1+1</f>
        <v>10</v>
      </c>
      <c r="M1" s="83">
        <f t="shared" ref="M1" si="8">L1+1</f>
        <v>11</v>
      </c>
      <c r="N1" s="83">
        <f t="shared" ref="N1" si="9">M1+1</f>
        <v>12</v>
      </c>
      <c r="O1" s="83">
        <f t="shared" ref="O1" si="10">N1+1</f>
        <v>13</v>
      </c>
      <c r="P1" s="83">
        <f t="shared" ref="P1" si="11">O1+1</f>
        <v>14</v>
      </c>
      <c r="Q1" s="83">
        <f t="shared" ref="Q1" si="12">P1+1</f>
        <v>15</v>
      </c>
      <c r="R1" s="83">
        <f t="shared" ref="R1" si="13">Q1+1</f>
        <v>16</v>
      </c>
      <c r="S1" s="83">
        <f t="shared" ref="S1" si="14">R1+1</f>
        <v>17</v>
      </c>
      <c r="T1" s="83">
        <f t="shared" ref="T1" si="15">S1+1</f>
        <v>18</v>
      </c>
      <c r="U1" s="83">
        <f t="shared" ref="U1" si="16">T1+1</f>
        <v>19</v>
      </c>
      <c r="V1" s="83">
        <f t="shared" ref="V1" si="17">U1+1</f>
        <v>20</v>
      </c>
      <c r="W1" s="83">
        <f t="shared" ref="W1" si="18">V1+1</f>
        <v>21</v>
      </c>
      <c r="X1" s="83">
        <f t="shared" ref="X1" si="19">W1+1</f>
        <v>22</v>
      </c>
      <c r="Y1" s="83">
        <f t="shared" ref="Y1" si="20">X1+1</f>
        <v>23</v>
      </c>
      <c r="Z1" s="83">
        <f t="shared" ref="Z1" si="21">Y1+1</f>
        <v>24</v>
      </c>
      <c r="AA1" s="83">
        <f t="shared" ref="AA1" si="22">Z1+1</f>
        <v>25</v>
      </c>
      <c r="AB1" s="83">
        <f t="shared" ref="AB1" si="23">AA1+1</f>
        <v>26</v>
      </c>
      <c r="AC1" s="83">
        <f t="shared" ref="AC1" si="24">AB1+1</f>
        <v>27</v>
      </c>
      <c r="AD1" s="83">
        <f t="shared" ref="AD1" si="25">AC1+1</f>
        <v>28</v>
      </c>
      <c r="AE1" s="83">
        <f t="shared" ref="AE1" si="26">AD1+1</f>
        <v>29</v>
      </c>
      <c r="AF1" s="84">
        <f t="shared" ref="AF1" si="27">AE1+1</f>
        <v>30</v>
      </c>
    </row>
    <row r="2" spans="1:32" ht="16.2" thickBot="1">
      <c r="A2" s="65"/>
      <c r="B2" s="589" t="s">
        <v>790</v>
      </c>
      <c r="C2" s="65"/>
      <c r="D2" s="691" t="s">
        <v>268</v>
      </c>
      <c r="E2" s="691"/>
      <c r="F2" s="691"/>
      <c r="G2" s="691"/>
      <c r="H2" s="65"/>
      <c r="I2" s="691" t="s">
        <v>269</v>
      </c>
      <c r="J2" s="691"/>
      <c r="K2" s="691"/>
      <c r="L2" s="691"/>
      <c r="M2" s="17"/>
      <c r="N2" s="17"/>
      <c r="O2" s="17"/>
      <c r="P2" s="17"/>
      <c r="Q2" s="65"/>
      <c r="R2" s="65"/>
      <c r="S2" s="65"/>
      <c r="T2" s="65"/>
      <c r="U2" s="65"/>
      <c r="V2" s="65"/>
      <c r="W2" s="65"/>
      <c r="X2" s="65"/>
      <c r="Y2" s="65"/>
      <c r="Z2" s="65"/>
      <c r="AA2" s="65"/>
      <c r="AB2" s="65"/>
      <c r="AC2" s="65"/>
      <c r="AD2" s="65"/>
      <c r="AE2" s="65"/>
      <c r="AF2" s="65"/>
    </row>
    <row r="3" spans="1:32" ht="18.600000000000001" thickBot="1">
      <c r="A3" s="65"/>
      <c r="B3" s="588" t="s">
        <v>163</v>
      </c>
      <c r="C3" s="504">
        <f>'Cash &amp; Assets'!B8</f>
        <v>2026</v>
      </c>
      <c r="D3" s="505">
        <f>C3+1</f>
        <v>2027</v>
      </c>
      <c r="E3" s="505">
        <f t="shared" ref="E3:AF3" si="28">D3+1</f>
        <v>2028</v>
      </c>
      <c r="F3" s="505">
        <f t="shared" si="28"/>
        <v>2029</v>
      </c>
      <c r="G3" s="505">
        <f t="shared" si="28"/>
        <v>2030</v>
      </c>
      <c r="H3" s="505">
        <f t="shared" si="28"/>
        <v>2031</v>
      </c>
      <c r="I3" s="505">
        <f t="shared" si="28"/>
        <v>2032</v>
      </c>
      <c r="J3" s="505">
        <f t="shared" si="28"/>
        <v>2033</v>
      </c>
      <c r="K3" s="505">
        <f t="shared" si="28"/>
        <v>2034</v>
      </c>
      <c r="L3" s="505">
        <f t="shared" si="28"/>
        <v>2035</v>
      </c>
      <c r="M3" s="505">
        <f t="shared" si="28"/>
        <v>2036</v>
      </c>
      <c r="N3" s="505">
        <f t="shared" si="28"/>
        <v>2037</v>
      </c>
      <c r="O3" s="505">
        <f t="shared" si="28"/>
        <v>2038</v>
      </c>
      <c r="P3" s="505">
        <f t="shared" si="28"/>
        <v>2039</v>
      </c>
      <c r="Q3" s="505">
        <f t="shared" si="28"/>
        <v>2040</v>
      </c>
      <c r="R3" s="505">
        <f t="shared" si="28"/>
        <v>2041</v>
      </c>
      <c r="S3" s="505">
        <f t="shared" si="28"/>
        <v>2042</v>
      </c>
      <c r="T3" s="505">
        <f t="shared" si="28"/>
        <v>2043</v>
      </c>
      <c r="U3" s="505">
        <f t="shared" si="28"/>
        <v>2044</v>
      </c>
      <c r="V3" s="505">
        <f t="shared" si="28"/>
        <v>2045</v>
      </c>
      <c r="W3" s="505">
        <f t="shared" si="28"/>
        <v>2046</v>
      </c>
      <c r="X3" s="505">
        <f t="shared" si="28"/>
        <v>2047</v>
      </c>
      <c r="Y3" s="505">
        <f t="shared" si="28"/>
        <v>2048</v>
      </c>
      <c r="Z3" s="505">
        <f t="shared" si="28"/>
        <v>2049</v>
      </c>
      <c r="AA3" s="505">
        <f t="shared" si="28"/>
        <v>2050</v>
      </c>
      <c r="AB3" s="505">
        <f t="shared" si="28"/>
        <v>2051</v>
      </c>
      <c r="AC3" s="505">
        <f t="shared" si="28"/>
        <v>2052</v>
      </c>
      <c r="AD3" s="505">
        <f t="shared" si="28"/>
        <v>2053</v>
      </c>
      <c r="AE3" s="505">
        <f t="shared" si="28"/>
        <v>2054</v>
      </c>
      <c r="AF3" s="506">
        <f t="shared" si="28"/>
        <v>2055</v>
      </c>
    </row>
    <row r="4" spans="1:32" ht="14.4" thickBot="1">
      <c r="A4" s="65"/>
      <c r="B4" s="71" t="s">
        <v>162</v>
      </c>
      <c r="C4" s="565">
        <f>'Cash &amp; Assets'!$Y$8</f>
        <v>47040</v>
      </c>
      <c r="D4" s="565">
        <f>'Cash &amp; Assets'!$Y$9</f>
        <v>47628</v>
      </c>
      <c r="E4" s="565">
        <f>'Cash &amp; Assets'!Y$10</f>
        <v>48223.35</v>
      </c>
      <c r="F4" s="565">
        <f>'Cash &amp; Assets'!Y$11</f>
        <v>48826.141874999994</v>
      </c>
      <c r="G4" s="565">
        <f>'Cash &amp; Assets'!Y$12</f>
        <v>49436.468648437491</v>
      </c>
      <c r="H4" s="565">
        <f>'Cash &amp; Assets'!Y$13</f>
        <v>50054.424506542957</v>
      </c>
      <c r="I4" s="565">
        <f>'Cash &amp; Assets'!Y$14</f>
        <v>50680.104812874742</v>
      </c>
      <c r="J4" s="565">
        <f>'Cash &amp; Assets'!Y$15</f>
        <v>51313.606123035672</v>
      </c>
      <c r="K4" s="565">
        <f>'Cash &amp; Assets'!Y$16</f>
        <v>51955.026199573615</v>
      </c>
      <c r="L4" s="565">
        <f>'Cash &amp; Assets'!Y$17</f>
        <v>52604.464027068279</v>
      </c>
      <c r="M4" s="565">
        <f>'Cash &amp; Assets'!Y$18</f>
        <v>53262.019827406628</v>
      </c>
      <c r="N4" s="565">
        <f>'Cash &amp; Assets'!Y$19</f>
        <v>53927.795075249211</v>
      </c>
      <c r="O4" s="565">
        <f>'Cash &amp; Assets'!Y$20</f>
        <v>54601.892513689825</v>
      </c>
      <c r="P4" s="565">
        <f>'Cash &amp; Assets'!Y$21</f>
        <v>55284.416170110948</v>
      </c>
      <c r="Q4" s="565">
        <f>'Cash &amp; Assets'!Y$22</f>
        <v>55975.471372237334</v>
      </c>
      <c r="R4" s="565">
        <f>'Cash &amp; Assets'!Y$23</f>
        <v>56675.164764390298</v>
      </c>
      <c r="S4" s="565">
        <f>'Cash &amp; Assets'!Y$24</f>
        <v>57383.604323945176</v>
      </c>
      <c r="T4" s="565">
        <f>'Cash &amp; Assets'!Y$25</f>
        <v>58100.899377994487</v>
      </c>
      <c r="U4" s="565">
        <f>'Cash &amp; Assets'!Y$26</f>
        <v>58827.160620219416</v>
      </c>
      <c r="V4" s="565">
        <f>'Cash &amp; Assets'!Y$27</f>
        <v>59562.500127972155</v>
      </c>
      <c r="W4" s="565">
        <f>'Cash &amp; Assets'!Y$28</f>
        <v>60307.031379571803</v>
      </c>
      <c r="X4" s="565">
        <f>'Cash &amp; Assets'!Y$29</f>
        <v>61060.869271816446</v>
      </c>
      <c r="Y4" s="565">
        <f>'Cash &amp; Assets'!Y$30</f>
        <v>61824.13013771415</v>
      </c>
      <c r="Z4" s="565">
        <f>'Cash &amp; Assets'!Y$31</f>
        <v>62596.931764435576</v>
      </c>
      <c r="AA4" s="565">
        <f>'Cash &amp; Assets'!Y$32</f>
        <v>63379.393411491015</v>
      </c>
      <c r="AB4" s="565">
        <f>'Cash &amp; Assets'!Y$33</f>
        <v>64171.635829134648</v>
      </c>
      <c r="AC4" s="565">
        <f>'Cash &amp; Assets'!Y$34</f>
        <v>64973.78127699883</v>
      </c>
      <c r="AD4" s="565">
        <f>'Cash &amp; Assets'!Y$35</f>
        <v>65785.953542961317</v>
      </c>
      <c r="AE4" s="565">
        <f>'Cash &amp; Assets'!Y$36</f>
        <v>66608.277962248336</v>
      </c>
      <c r="AF4" s="566">
        <f>'Cash &amp; Assets'!Y$37</f>
        <v>67440.881436776443</v>
      </c>
    </row>
    <row r="5" spans="1:32" ht="14.4" thickBot="1">
      <c r="A5" s="65"/>
      <c r="B5" s="65"/>
      <c r="C5" s="65"/>
      <c r="D5" s="65"/>
      <c r="E5" s="65"/>
      <c r="F5" s="65"/>
      <c r="G5" s="65"/>
      <c r="H5" s="65"/>
      <c r="I5" s="65"/>
      <c r="J5" s="65"/>
      <c r="K5" s="65"/>
      <c r="L5" s="65"/>
      <c r="M5" s="17"/>
      <c r="N5" s="17"/>
      <c r="O5" s="17"/>
      <c r="P5" s="17"/>
      <c r="Q5" s="65"/>
      <c r="R5" s="65"/>
      <c r="S5" s="65"/>
      <c r="T5" s="65"/>
      <c r="U5" s="65"/>
      <c r="V5" s="65"/>
      <c r="W5" s="65"/>
      <c r="X5" s="65"/>
      <c r="Y5" s="65"/>
      <c r="Z5" s="65"/>
      <c r="AA5" s="65"/>
      <c r="AB5" s="65"/>
      <c r="AC5" s="65"/>
      <c r="AD5" s="65"/>
      <c r="AE5" s="65"/>
      <c r="AF5" s="65"/>
    </row>
    <row r="6" spans="1:32" ht="18.600000000000001" thickBot="1">
      <c r="A6" s="65"/>
      <c r="B6" s="564" t="s">
        <v>170</v>
      </c>
      <c r="C6" s="66">
        <f>C3</f>
        <v>2026</v>
      </c>
      <c r="D6" s="67">
        <f>C6+1</f>
        <v>2027</v>
      </c>
      <c r="E6" s="67">
        <f t="shared" ref="E6:AF6" si="29">D6+1</f>
        <v>2028</v>
      </c>
      <c r="F6" s="67">
        <f t="shared" si="29"/>
        <v>2029</v>
      </c>
      <c r="G6" s="67">
        <f t="shared" si="29"/>
        <v>2030</v>
      </c>
      <c r="H6" s="67">
        <f t="shared" si="29"/>
        <v>2031</v>
      </c>
      <c r="I6" s="67">
        <f t="shared" si="29"/>
        <v>2032</v>
      </c>
      <c r="J6" s="67">
        <f t="shared" si="29"/>
        <v>2033</v>
      </c>
      <c r="K6" s="67">
        <f t="shared" si="29"/>
        <v>2034</v>
      </c>
      <c r="L6" s="67">
        <f t="shared" si="29"/>
        <v>2035</v>
      </c>
      <c r="M6" s="67">
        <f t="shared" si="29"/>
        <v>2036</v>
      </c>
      <c r="N6" s="67">
        <f t="shared" si="29"/>
        <v>2037</v>
      </c>
      <c r="O6" s="67">
        <f t="shared" si="29"/>
        <v>2038</v>
      </c>
      <c r="P6" s="67">
        <f t="shared" si="29"/>
        <v>2039</v>
      </c>
      <c r="Q6" s="67">
        <f t="shared" si="29"/>
        <v>2040</v>
      </c>
      <c r="R6" s="67">
        <f t="shared" si="29"/>
        <v>2041</v>
      </c>
      <c r="S6" s="67">
        <f t="shared" si="29"/>
        <v>2042</v>
      </c>
      <c r="T6" s="67">
        <f t="shared" si="29"/>
        <v>2043</v>
      </c>
      <c r="U6" s="67">
        <f t="shared" si="29"/>
        <v>2044</v>
      </c>
      <c r="V6" s="67">
        <f t="shared" si="29"/>
        <v>2045</v>
      </c>
      <c r="W6" s="67">
        <f t="shared" si="29"/>
        <v>2046</v>
      </c>
      <c r="X6" s="67">
        <f t="shared" si="29"/>
        <v>2047</v>
      </c>
      <c r="Y6" s="67">
        <f t="shared" si="29"/>
        <v>2048</v>
      </c>
      <c r="Z6" s="67">
        <f t="shared" si="29"/>
        <v>2049</v>
      </c>
      <c r="AA6" s="67">
        <f t="shared" si="29"/>
        <v>2050</v>
      </c>
      <c r="AB6" s="67">
        <f t="shared" si="29"/>
        <v>2051</v>
      </c>
      <c r="AC6" s="67">
        <f t="shared" si="29"/>
        <v>2052</v>
      </c>
      <c r="AD6" s="67">
        <f t="shared" si="29"/>
        <v>2053</v>
      </c>
      <c r="AE6" s="67">
        <f t="shared" si="29"/>
        <v>2054</v>
      </c>
      <c r="AF6" s="76">
        <f t="shared" si="29"/>
        <v>2055</v>
      </c>
    </row>
    <row r="7" spans="1:32" ht="13.8">
      <c r="B7" s="496" t="s">
        <v>304</v>
      </c>
      <c r="C7" s="138">
        <f>'Cash &amp; Assets'!$AS$8</f>
        <v>1046199.9999999999</v>
      </c>
      <c r="D7" s="138">
        <f>'Cash &amp; Assets'!$AS$9</f>
        <v>1052440.9999999998</v>
      </c>
      <c r="E7" s="138">
        <f>'Cash &amp; Assets'!$AS$10</f>
        <v>1058723.3049999997</v>
      </c>
      <c r="F7" s="138">
        <f>'Cash &amp; Assets'!$AS$11</f>
        <v>1065047.2225249996</v>
      </c>
      <c r="G7" s="138">
        <f>'Cash &amp; Assets'!$AS$12</f>
        <v>1071413.0626476244</v>
      </c>
      <c r="H7" s="138">
        <f>'Cash &amp; Assets'!$AS$13</f>
        <v>1077821.1380109624</v>
      </c>
      <c r="I7" s="138">
        <f>'Cash &amp; Assets'!$AS$14</f>
        <v>1084271.7638516182</v>
      </c>
      <c r="J7" s="138">
        <f>'Cash &amp; Assets'!$AS$15</f>
        <v>1090765.2580229831</v>
      </c>
      <c r="K7" s="138">
        <f>'Cash &amp; Assets'!$AS$16</f>
        <v>1097301.941018726</v>
      </c>
      <c r="L7" s="138">
        <f>'Cash &amp; Assets'!$AS$17</f>
        <v>1103882.1359965038</v>
      </c>
      <c r="M7" s="138">
        <f>'Cash &amp; Assets'!$AS$18</f>
        <v>1110506.1688018974</v>
      </c>
      <c r="N7" s="138">
        <f>'Cash &amp; Assets'!$AS$19</f>
        <v>1117174.3679925723</v>
      </c>
      <c r="O7" s="138">
        <f>'Cash &amp; Assets'!$AS$20</f>
        <v>1123887.0648626669</v>
      </c>
      <c r="P7" s="138">
        <f>'Cash &amp; Assets'!$AS$21</f>
        <v>1130644.5934674134</v>
      </c>
      <c r="Q7" s="138">
        <f>'Cash &amp; Assets'!$AS$22</f>
        <v>1137447.290647988</v>
      </c>
      <c r="R7" s="138">
        <f>'Cash &amp; Assets'!$AS$23</f>
        <v>1144295.4960565977</v>
      </c>
      <c r="S7" s="138">
        <f>'Cash &amp; Assets'!$AS$24</f>
        <v>1151189.5521818043</v>
      </c>
      <c r="T7" s="138">
        <f>'Cash &amp; Assets'!$AS$25</f>
        <v>1158129.8043740862</v>
      </c>
      <c r="U7" s="138">
        <f>'Cash &amp; Assets'!$AS$26</f>
        <v>1165116.6008716433</v>
      </c>
      <c r="V7" s="138">
        <f>'Cash &amp; Assets'!$AS$27</f>
        <v>1172150.2928264448</v>
      </c>
      <c r="W7" s="138">
        <f>'Cash &amp; Assets'!$AS$28</f>
        <v>1179231.2343305249</v>
      </c>
      <c r="X7" s="138">
        <f>'Cash &amp; Assets'!$AS$29</f>
        <v>1186359.7824425248</v>
      </c>
      <c r="Y7" s="138">
        <f>'Cash &amp; Assets'!$AS$30</f>
        <v>1193536.2972144883</v>
      </c>
      <c r="Z7" s="138">
        <f>'Cash &amp; Assets'!$AS$31</f>
        <v>1200761.1417189091</v>
      </c>
      <c r="AA7" s="138">
        <f>'Cash &amp; Assets'!$AS$32</f>
        <v>1208034.6820760355</v>
      </c>
      <c r="AB7" s="138">
        <f>'Cash &amp; Assets'!$AS$33</f>
        <v>1215357.2874814328</v>
      </c>
      <c r="AC7" s="138">
        <f>'Cash &amp; Assets'!$AS$34</f>
        <v>1222729.3302338072</v>
      </c>
      <c r="AD7" s="138">
        <f>'Cash &amp; Assets'!$AS$35</f>
        <v>1230151.1857630932</v>
      </c>
      <c r="AE7" s="138">
        <f>'Cash &amp; Assets'!$AS$36</f>
        <v>1237623.2326588067</v>
      </c>
      <c r="AF7" s="139">
        <f>'Cash &amp; Assets'!$AS$37</f>
        <v>1245145.8526986679</v>
      </c>
    </row>
    <row r="8" spans="1:32" ht="13.8">
      <c r="B8" s="72" t="s">
        <v>643</v>
      </c>
      <c r="C8" s="137">
        <f>'Cash &amp; Assets'!$D8</f>
        <v>998200</v>
      </c>
      <c r="D8" s="137">
        <f>'Cash &amp; Assets'!$D9</f>
        <v>970278.06314848189</v>
      </c>
      <c r="E8" s="138">
        <f>'Cash &amp; Assets'!D$10</f>
        <v>941560.35109669552</v>
      </c>
      <c r="F8" s="138">
        <f>'Cash &amp; Assets'!D$11</f>
        <v>912024.18425143324</v>
      </c>
      <c r="G8" s="138">
        <f>'Cash &amp; Assets'!D$12</f>
        <v>881646.23665108089</v>
      </c>
      <c r="H8" s="138">
        <f>'Cash &amp; Assets'!D$13</f>
        <v>850402.51754411857</v>
      </c>
      <c r="I8" s="138">
        <f>'Cash &amp; Assets'!D$14</f>
        <v>818268.35244260775</v>
      </c>
      <c r="J8" s="138">
        <f>'Cash &amp; Assets'!D$15</f>
        <v>785218.36363570392</v>
      </c>
      <c r="K8" s="138">
        <f>'Cash &amp; Assets'!D$16</f>
        <v>751226.45014780329</v>
      </c>
      <c r="L8" s="138">
        <f>'Cash &amp; Assets'!D$17</f>
        <v>716265.76712549757</v>
      </c>
      <c r="M8" s="138">
        <f>'Cash &amp; Assets'!D$18</f>
        <v>680308.7046370561</v>
      </c>
      <c r="N8" s="138">
        <f>'Cash &amp; Assets'!D$19</f>
        <v>644396.17435768596</v>
      </c>
      <c r="O8" s="138">
        <f>'Cash &amp; Assets'!D$20</f>
        <v>607316.48684423626</v>
      </c>
      <c r="P8" s="138">
        <f>'Cash &amp; Assets'!D$21</f>
        <v>569031.70948659943</v>
      </c>
      <c r="Q8" s="138">
        <f>'Cash &amp; Assets'!D$22</f>
        <v>529502.67686483939</v>
      </c>
      <c r="R8" s="138">
        <f>'Cash &amp; Assets'!D$23</f>
        <v>488688.95068287221</v>
      </c>
      <c r="S8" s="138">
        <f>'Cash &amp; Assets'!D$24</f>
        <v>446548.7783999911</v>
      </c>
      <c r="T8" s="138">
        <f>'Cash &amp; Assets'!D$25</f>
        <v>403039.05051791633</v>
      </c>
      <c r="U8" s="138">
        <f>'Cash &amp; Assets'!D$26</f>
        <v>358115.25647967414</v>
      </c>
      <c r="V8" s="138">
        <f>'Cash &amp; Assets'!D$27</f>
        <v>311731.43913518905</v>
      </c>
      <c r="W8" s="138">
        <f>'Cash &amp; Assets'!D$28</f>
        <v>263840.14772700821</v>
      </c>
      <c r="X8" s="138">
        <f>'Cash &amp; Assets'!D$29</f>
        <v>214392.38934806152</v>
      </c>
      <c r="Y8" s="138">
        <f>'Cash &amp; Assets'!D$30</f>
        <v>163337.57882179905</v>
      </c>
      <c r="Z8" s="138">
        <f>'Cash &amp; Assets'!D$31</f>
        <v>110623.48695343305</v>
      </c>
      <c r="AA8" s="138">
        <f>'Cash &amp; Assets'!D$32</f>
        <v>56196.187099345159</v>
      </c>
      <c r="AB8" s="138">
        <f>'Cash &amp; Assets'!D$33</f>
        <v>0</v>
      </c>
      <c r="AC8" s="138">
        <f>'Cash &amp; Assets'!D$34</f>
        <v>0</v>
      </c>
      <c r="AD8" s="138">
        <f>'Cash &amp; Assets'!D$35</f>
        <v>0</v>
      </c>
      <c r="AE8" s="138">
        <f>'Cash &amp; Assets'!D$36</f>
        <v>0</v>
      </c>
      <c r="AF8" s="139">
        <f>'Cash &amp; Assets'!D$37</f>
        <v>0</v>
      </c>
    </row>
    <row r="9" spans="1:32" ht="13.8">
      <c r="B9" s="72" t="s">
        <v>642</v>
      </c>
      <c r="C9" s="137">
        <f>'Cash &amp; Assets'!$L8</f>
        <v>50000</v>
      </c>
      <c r="D9" s="137">
        <f>'Cash &amp; Assets'!$L9</f>
        <v>42847.180726796803</v>
      </c>
      <c r="E9" s="138">
        <f>'Cash &amp; Assets'!L$10</f>
        <v>35490.506104307322</v>
      </c>
      <c r="F9" s="138">
        <f>'Cash &amp; Assets'!L$11</f>
        <v>27924.166255076889</v>
      </c>
      <c r="G9" s="138">
        <f>'Cash &amp; Assets'!L$12</f>
        <v>20142.185720143385</v>
      </c>
      <c r="H9" s="138">
        <f>'Cash &amp; Assets'!L$13</f>
        <v>12138.418739964278</v>
      </c>
      <c r="I9" s="138">
        <f>'Cash &amp; Assets'!L$14</f>
        <v>5406.5444008500663</v>
      </c>
      <c r="J9" s="138">
        <f>'Cash &amp; Assets'!L$15</f>
        <v>0</v>
      </c>
      <c r="K9" s="138">
        <f>'Cash &amp; Assets'!L$16</f>
        <v>0</v>
      </c>
      <c r="L9" s="138">
        <f>'Cash &amp; Assets'!L$17</f>
        <v>0</v>
      </c>
      <c r="M9" s="138">
        <f>'Cash &amp; Assets'!L$18</f>
        <v>0</v>
      </c>
      <c r="N9" s="138">
        <f>'Cash &amp; Assets'!L$19</f>
        <v>0</v>
      </c>
      <c r="O9" s="138">
        <f>'Cash &amp; Assets'!L$20</f>
        <v>0</v>
      </c>
      <c r="P9" s="138">
        <f>'Cash &amp; Assets'!L$21</f>
        <v>0</v>
      </c>
      <c r="Q9" s="138">
        <f>'Cash &amp; Assets'!L$22</f>
        <v>0</v>
      </c>
      <c r="R9" s="138">
        <f>'Cash &amp; Assets'!L$23</f>
        <v>0</v>
      </c>
      <c r="S9" s="138">
        <f>'Cash &amp; Assets'!L$24</f>
        <v>0</v>
      </c>
      <c r="T9" s="138">
        <f>'Cash &amp; Assets'!L$25</f>
        <v>0</v>
      </c>
      <c r="U9" s="138">
        <f>'Cash &amp; Assets'!L$26</f>
        <v>0</v>
      </c>
      <c r="V9" s="138">
        <f>'Cash &amp; Assets'!L$27</f>
        <v>0</v>
      </c>
      <c r="W9" s="138">
        <f>'Cash &amp; Assets'!L$28</f>
        <v>0</v>
      </c>
      <c r="X9" s="138">
        <f>'Cash &amp; Assets'!L$29</f>
        <v>0</v>
      </c>
      <c r="Y9" s="138">
        <f>'Cash &amp; Assets'!L$30</f>
        <v>0</v>
      </c>
      <c r="Z9" s="138">
        <f>'Cash &amp; Assets'!L$31</f>
        <v>0</v>
      </c>
      <c r="AA9" s="138">
        <f>'Cash &amp; Assets'!L$32</f>
        <v>0</v>
      </c>
      <c r="AB9" s="138">
        <f>'Cash &amp; Assets'!L$33</f>
        <v>0</v>
      </c>
      <c r="AC9" s="138">
        <f>'Cash &amp; Assets'!L$34</f>
        <v>0</v>
      </c>
      <c r="AD9" s="138">
        <f>'Cash &amp; Assets'!L$35</f>
        <v>0</v>
      </c>
      <c r="AE9" s="138">
        <f>'Cash &amp; Assets'!L$36</f>
        <v>0</v>
      </c>
      <c r="AF9" s="139">
        <f>'Cash &amp; Assets'!L$37</f>
        <v>0</v>
      </c>
    </row>
    <row r="10" spans="1:32" ht="13.8">
      <c r="B10" s="496" t="s">
        <v>641</v>
      </c>
      <c r="C10" s="137">
        <f>C9+C8</f>
        <v>1048200</v>
      </c>
      <c r="D10" s="137">
        <f t="shared" ref="D10:AF10" si="30">D9+D8</f>
        <v>1013125.2438752787</v>
      </c>
      <c r="E10" s="137">
        <f t="shared" si="30"/>
        <v>977050.85720100289</v>
      </c>
      <c r="F10" s="137">
        <f t="shared" si="30"/>
        <v>939948.35050651012</v>
      </c>
      <c r="G10" s="137">
        <f t="shared" si="30"/>
        <v>901788.42237122427</v>
      </c>
      <c r="H10" s="137">
        <f t="shared" si="30"/>
        <v>862540.93628408283</v>
      </c>
      <c r="I10" s="137">
        <f t="shared" si="30"/>
        <v>823674.89684345783</v>
      </c>
      <c r="J10" s="137">
        <f t="shared" si="30"/>
        <v>785218.36363570392</v>
      </c>
      <c r="K10" s="137">
        <f t="shared" si="30"/>
        <v>751226.45014780329</v>
      </c>
      <c r="L10" s="137">
        <f t="shared" si="30"/>
        <v>716265.76712549757</v>
      </c>
      <c r="M10" s="137">
        <f t="shared" si="30"/>
        <v>680308.7046370561</v>
      </c>
      <c r="N10" s="137">
        <f t="shared" si="30"/>
        <v>644396.17435768596</v>
      </c>
      <c r="O10" s="137">
        <f t="shared" si="30"/>
        <v>607316.48684423626</v>
      </c>
      <c r="P10" s="137">
        <f t="shared" si="30"/>
        <v>569031.70948659943</v>
      </c>
      <c r="Q10" s="137">
        <f t="shared" si="30"/>
        <v>529502.67686483939</v>
      </c>
      <c r="R10" s="137">
        <f t="shared" si="30"/>
        <v>488688.95068287221</v>
      </c>
      <c r="S10" s="137">
        <f t="shared" si="30"/>
        <v>446548.7783999911</v>
      </c>
      <c r="T10" s="137">
        <f t="shared" si="30"/>
        <v>403039.05051791633</v>
      </c>
      <c r="U10" s="137">
        <f t="shared" si="30"/>
        <v>358115.25647967414</v>
      </c>
      <c r="V10" s="137">
        <f t="shared" si="30"/>
        <v>311731.43913518905</v>
      </c>
      <c r="W10" s="137">
        <f t="shared" si="30"/>
        <v>263840.14772700821</v>
      </c>
      <c r="X10" s="137">
        <f t="shared" si="30"/>
        <v>214392.38934806152</v>
      </c>
      <c r="Y10" s="137">
        <f t="shared" si="30"/>
        <v>163337.57882179905</v>
      </c>
      <c r="Z10" s="137">
        <f t="shared" si="30"/>
        <v>110623.48695343305</v>
      </c>
      <c r="AA10" s="137">
        <f t="shared" si="30"/>
        <v>56196.187099345159</v>
      </c>
      <c r="AB10" s="137">
        <f t="shared" si="30"/>
        <v>0</v>
      </c>
      <c r="AC10" s="137">
        <f t="shared" si="30"/>
        <v>0</v>
      </c>
      <c r="AD10" s="137">
        <f t="shared" si="30"/>
        <v>0</v>
      </c>
      <c r="AE10" s="137">
        <f t="shared" si="30"/>
        <v>0</v>
      </c>
      <c r="AF10" s="137">
        <f t="shared" si="30"/>
        <v>0</v>
      </c>
    </row>
    <row r="11" spans="1:32" ht="13.2" customHeight="1">
      <c r="B11" s="73" t="s">
        <v>313</v>
      </c>
      <c r="C11" s="137">
        <f t="shared" ref="C11:AF11" si="31">C7-C10</f>
        <v>-2000.0000000001164</v>
      </c>
      <c r="D11" s="138">
        <f t="shared" si="31"/>
        <v>39315.756124721025</v>
      </c>
      <c r="E11" s="138">
        <f t="shared" si="31"/>
        <v>81672.447798996815</v>
      </c>
      <c r="F11" s="138">
        <f t="shared" si="31"/>
        <v>125098.87201848952</v>
      </c>
      <c r="G11" s="138">
        <f t="shared" si="31"/>
        <v>169624.64027640014</v>
      </c>
      <c r="H11" s="138">
        <f t="shared" si="31"/>
        <v>215280.20172687958</v>
      </c>
      <c r="I11" s="138">
        <f t="shared" si="31"/>
        <v>260596.86700816033</v>
      </c>
      <c r="J11" s="138">
        <f t="shared" si="31"/>
        <v>305546.89438727917</v>
      </c>
      <c r="K11" s="138">
        <f t="shared" si="31"/>
        <v>346075.49087092269</v>
      </c>
      <c r="L11" s="138">
        <f t="shared" si="31"/>
        <v>387616.36887100618</v>
      </c>
      <c r="M11" s="138">
        <f t="shared" si="31"/>
        <v>430197.46416484134</v>
      </c>
      <c r="N11" s="138">
        <f t="shared" si="31"/>
        <v>472778.19363488629</v>
      </c>
      <c r="O11" s="138">
        <f t="shared" si="31"/>
        <v>516570.57801843062</v>
      </c>
      <c r="P11" s="138">
        <f t="shared" si="31"/>
        <v>561612.88398081402</v>
      </c>
      <c r="Q11" s="138">
        <f t="shared" si="31"/>
        <v>607944.61378314858</v>
      </c>
      <c r="R11" s="138">
        <f t="shared" si="31"/>
        <v>655606.54537372547</v>
      </c>
      <c r="S11" s="138">
        <f t="shared" si="31"/>
        <v>704640.77378181322</v>
      </c>
      <c r="T11" s="138">
        <f t="shared" si="31"/>
        <v>755090.75385616987</v>
      </c>
      <c r="U11" s="138">
        <f t="shared" si="31"/>
        <v>807001.34439196915</v>
      </c>
      <c r="V11" s="138">
        <f t="shared" si="31"/>
        <v>860418.85369125579</v>
      </c>
      <c r="W11" s="138">
        <f t="shared" si="31"/>
        <v>915391.08660351671</v>
      </c>
      <c r="X11" s="138">
        <f t="shared" si="31"/>
        <v>971967.39309446327</v>
      </c>
      <c r="Y11" s="138">
        <f t="shared" si="31"/>
        <v>1030198.7183926892</v>
      </c>
      <c r="Z11" s="138">
        <f t="shared" si="31"/>
        <v>1090137.654765476</v>
      </c>
      <c r="AA11" s="138">
        <f t="shared" si="31"/>
        <v>1151838.4949766903</v>
      </c>
      <c r="AB11" s="138">
        <f t="shared" si="31"/>
        <v>1215357.2874814328</v>
      </c>
      <c r="AC11" s="138">
        <f t="shared" si="31"/>
        <v>1222729.3302338072</v>
      </c>
      <c r="AD11" s="138">
        <f t="shared" si="31"/>
        <v>1230151.1857630932</v>
      </c>
      <c r="AE11" s="138">
        <f t="shared" si="31"/>
        <v>1237623.2326588067</v>
      </c>
      <c r="AF11" s="139">
        <f t="shared" si="31"/>
        <v>1245145.8526986679</v>
      </c>
    </row>
    <row r="12" spans="1:32" ht="14.4" thickBot="1">
      <c r="A12" s="65"/>
      <c r="B12" s="71" t="s">
        <v>305</v>
      </c>
      <c r="C12" s="140">
        <f>'Cash &amp; Assets'!$AU8</f>
        <v>-84009.981246700278</v>
      </c>
      <c r="D12" s="140">
        <f>'Cash &amp; Assets'!$AU9</f>
        <v>-57352.63257795875</v>
      </c>
      <c r="E12" s="140">
        <f>'Cash &amp; Assets'!$AU10</f>
        <v>-29727.70673561655</v>
      </c>
      <c r="F12" s="140">
        <f>'Cash &amp; Assets'!$AU11</f>
        <v>-1113.7768387156539</v>
      </c>
      <c r="G12" s="140">
        <f>'Cash &amp; Assets'!$AU12</f>
        <v>28511.122450458352</v>
      </c>
      <c r="H12" s="140">
        <f>'Cash &amp; Assets'!$AU13</f>
        <v>56169.509397720452</v>
      </c>
      <c r="I12" s="140">
        <f>'Cash &amp; Assets'!$AU14</f>
        <v>84859.675070012454</v>
      </c>
      <c r="J12" s="140">
        <f>'Cash &amp; Assets'!$AU15</f>
        <v>114579.50284039346</v>
      </c>
      <c r="K12" s="140">
        <f>'Cash &amp; Assets'!$AU16</f>
        <v>145259.90187948151</v>
      </c>
      <c r="L12" s="140">
        <f>'Cash &amp; Assets'!$AU17</f>
        <v>176921.6528067668</v>
      </c>
      <c r="M12" s="140">
        <f>'Cash &amp; Assets'!$AU18</f>
        <v>208007.734673345</v>
      </c>
      <c r="N12" s="140">
        <f>'Cash &amp; Assets'!$AU19</f>
        <v>240183.92867276538</v>
      </c>
      <c r="O12" s="140">
        <f>'Cash &amp; Assets'!$AU20</f>
        <v>273477.17944492656</v>
      </c>
      <c r="P12" s="140">
        <f>'Cash &amp; Assets'!$AU21</f>
        <v>307915.20707591949</v>
      </c>
      <c r="Q12" s="140">
        <f>'Cash &amp; Assets'!$AU22</f>
        <v>343526.53108203667</v>
      </c>
      <c r="R12" s="140">
        <f>'Cash &amp; Assets'!$AU23</f>
        <v>380340.49515827443</v>
      </c>
      <c r="S12" s="140">
        <f>'Cash &amp; Assets'!$AU24</f>
        <v>418387.29271599138</v>
      </c>
      <c r="T12" s="140">
        <f>'Cash &amp; Assets'!$AU25</f>
        <v>457697.99323517783</v>
      </c>
      <c r="U12" s="140">
        <f>'Cash &amp; Assets'!$AU26</f>
        <v>498304.56945762481</v>
      </c>
      <c r="V12" s="140">
        <f>'Cash &amp; Assets'!$AU27</f>
        <v>540239.92544812895</v>
      </c>
      <c r="W12" s="140">
        <f>'Cash &amp; Assets'!$AU28</f>
        <v>583537.92555174837</v>
      </c>
      <c r="X12" s="140">
        <f>'Cash &amp; Assets'!$AU29</f>
        <v>628233.42427603295</v>
      </c>
      <c r="Y12" s="140">
        <f>'Cash &amp; Assets'!$AU30</f>
        <v>674362.29712809506</v>
      </c>
      <c r="Z12" s="140">
        <f>'Cash &amp; Assets'!$AU31</f>
        <v>721961.47243734426</v>
      </c>
      <c r="AA12" s="140">
        <f>'Cash &amp; Assets'!$AU32</f>
        <v>771068.96419572248</v>
      </c>
      <c r="AB12" s="140">
        <f>'Cash &amp; Assets'!$AU33</f>
        <v>821723.90594829503</v>
      </c>
      <c r="AC12" s="140">
        <f>'Cash &amp; Assets'!$AU34</f>
        <v>872872.86045218445</v>
      </c>
      <c r="AD12" s="140">
        <f>'Cash &amp; Assets'!$AU35</f>
        <v>924521.76032987935</v>
      </c>
      <c r="AE12" s="140">
        <f>'Cash &amp; Assets'!$AU36</f>
        <v>976676.61082835682</v>
      </c>
      <c r="AF12" s="232">
        <f>'Cash &amp; Assets'!$AU37</f>
        <v>1029343.4907160169</v>
      </c>
    </row>
    <row r="13" spans="1:32" ht="13.8">
      <c r="A13" s="65"/>
      <c r="B13" s="497" t="s">
        <v>306</v>
      </c>
      <c r="C13" s="151">
        <f>'Cash &amp; Assets'!$AN8</f>
        <v>17990.018753299759</v>
      </c>
      <c r="D13" s="151">
        <f>'Cash &amp; Assets'!$AN9</f>
        <v>38406.367422041396</v>
      </c>
      <c r="E13" s="151">
        <f>'Cash &amp; Assets'!$AN10</f>
        <v>59748.988264383814</v>
      </c>
      <c r="F13" s="151">
        <f>'Cash &amp; Assets'!$AN11</f>
        <v>82039.000636284647</v>
      </c>
      <c r="G13" s="151">
        <f>'Cash &amp; Assets'!$AN12</f>
        <v>105298.05980283392</v>
      </c>
      <c r="H13" s="151">
        <f>'Cash &amp; Assets'!$AN13</f>
        <v>126548.37138675795</v>
      </c>
      <c r="I13" s="151">
        <f>'Cash &amp; Assets'!$AN14</f>
        <v>148787.91121839426</v>
      </c>
      <c r="J13" s="151">
        <f>'Cash &amp; Assets'!$AN15</f>
        <v>172014.24481741045</v>
      </c>
      <c r="K13" s="151">
        <f>'Cash &amp; Assets'!$AN16</f>
        <v>196157.96086075559</v>
      </c>
      <c r="L13" s="151">
        <f>'Cash &amp; Assets'!$AN17</f>
        <v>221239.51681026304</v>
      </c>
      <c r="M13" s="151">
        <f>'Cash &amp; Assets'!$AN18</f>
        <v>245701.56587144762</v>
      </c>
      <c r="N13" s="151">
        <f>'Cash &amp; Assets'!$AN19</f>
        <v>271209.56068019324</v>
      </c>
      <c r="O13" s="151">
        <f>'Cash &amp; Assets'!$AN20</f>
        <v>297790.11458225973</v>
      </c>
      <c r="P13" s="151">
        <f>'Cash &amp; Assets'!$AN21</f>
        <v>325470.61360850616</v>
      </c>
      <c r="Q13" s="151">
        <f>'Cash &amp; Assets'!$AN22</f>
        <v>354279.24043404864</v>
      </c>
      <c r="R13" s="151">
        <f>'Cash &amp; Assets'!$AN23</f>
        <v>384244.99910167675</v>
      </c>
      <c r="S13" s="151">
        <f>'Cash &amp; Assets'!$AN24</f>
        <v>415397.74053418718</v>
      </c>
      <c r="T13" s="151">
        <f>'Cash &amp; Assets'!$AN25</f>
        <v>447768.18886109162</v>
      </c>
      <c r="U13" s="151">
        <f>'Cash &amp; Assets'!$AN26</f>
        <v>481387.96858598146</v>
      </c>
      <c r="V13" s="151">
        <f>'Cash &amp; Assets'!$AN27</f>
        <v>516289.63262168405</v>
      </c>
      <c r="W13" s="151">
        <f>'Cash &amp; Assets'!$AN28</f>
        <v>552506.69122122333</v>
      </c>
      <c r="X13" s="151">
        <f>'Cash &amp; Assets'!$AN29</f>
        <v>590073.64183350815</v>
      </c>
      <c r="Y13" s="151">
        <f>'Cash &amp; Assets'!$AN30</f>
        <v>629025.99991360679</v>
      </c>
      <c r="Z13" s="151">
        <f>'Cash &amp; Assets'!$AN31</f>
        <v>669400.33071843511</v>
      </c>
      <c r="AA13" s="151">
        <f>'Cash &amp; Assets'!$AN32</f>
        <v>711234.28211968695</v>
      </c>
      <c r="AB13" s="151">
        <f>'Cash &amp; Assets'!$AN33</f>
        <v>754566.61846686224</v>
      </c>
      <c r="AC13" s="151">
        <f>'Cash &amp; Assets'!$AN34</f>
        <v>798343.53021837724</v>
      </c>
      <c r="AD13" s="151">
        <f>'Cash &amp; Assets'!$AN35</f>
        <v>842570.57456678618</v>
      </c>
      <c r="AE13" s="151">
        <f>'Cash &amp; Assets'!$AN36</f>
        <v>887253.37816955021</v>
      </c>
      <c r="AF13" s="233">
        <f>'Cash &amp; Assets'!$AN37</f>
        <v>932397.63801734883</v>
      </c>
    </row>
    <row r="14" spans="1:32" ht="14.4" thickBot="1">
      <c r="A14" s="65"/>
      <c r="B14" s="69"/>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row>
    <row r="15" spans="1:32" ht="18.600000000000001" thickBot="1">
      <c r="A15" s="65"/>
      <c r="B15" s="564" t="s">
        <v>165</v>
      </c>
      <c r="C15" s="66">
        <f>C3</f>
        <v>2026</v>
      </c>
      <c r="D15" s="67">
        <f>C15+1</f>
        <v>2027</v>
      </c>
      <c r="E15" s="67">
        <f t="shared" ref="E15" si="32">D15+1</f>
        <v>2028</v>
      </c>
      <c r="F15" s="67">
        <f t="shared" ref="F15" si="33">E15+1</f>
        <v>2029</v>
      </c>
      <c r="G15" s="67">
        <f t="shared" ref="G15" si="34">F15+1</f>
        <v>2030</v>
      </c>
      <c r="H15" s="67">
        <f t="shared" ref="H15" si="35">G15+1</f>
        <v>2031</v>
      </c>
      <c r="I15" s="67">
        <f t="shared" ref="I15" si="36">H15+1</f>
        <v>2032</v>
      </c>
      <c r="J15" s="67">
        <f t="shared" ref="J15" si="37">I15+1</f>
        <v>2033</v>
      </c>
      <c r="K15" s="67">
        <f t="shared" ref="K15" si="38">J15+1</f>
        <v>2034</v>
      </c>
      <c r="L15" s="67">
        <f t="shared" ref="L15" si="39">K15+1</f>
        <v>2035</v>
      </c>
      <c r="M15" s="67">
        <f t="shared" ref="M15" si="40">L15+1</f>
        <v>2036</v>
      </c>
      <c r="N15" s="67">
        <f t="shared" ref="N15" si="41">M15+1</f>
        <v>2037</v>
      </c>
      <c r="O15" s="67">
        <f t="shared" ref="O15" si="42">N15+1</f>
        <v>2038</v>
      </c>
      <c r="P15" s="67">
        <f t="shared" ref="P15" si="43">O15+1</f>
        <v>2039</v>
      </c>
      <c r="Q15" s="67">
        <f t="shared" ref="Q15" si="44">P15+1</f>
        <v>2040</v>
      </c>
      <c r="R15" s="67">
        <f t="shared" ref="R15" si="45">Q15+1</f>
        <v>2041</v>
      </c>
      <c r="S15" s="67">
        <f t="shared" ref="S15" si="46">R15+1</f>
        <v>2042</v>
      </c>
      <c r="T15" s="67">
        <f t="shared" ref="T15" si="47">S15+1</f>
        <v>2043</v>
      </c>
      <c r="U15" s="67">
        <f t="shared" ref="U15" si="48">T15+1</f>
        <v>2044</v>
      </c>
      <c r="V15" s="67">
        <f t="shared" ref="V15" si="49">U15+1</f>
        <v>2045</v>
      </c>
      <c r="W15" s="67">
        <f t="shared" ref="W15" si="50">V15+1</f>
        <v>2046</v>
      </c>
      <c r="X15" s="67">
        <f t="shared" ref="X15" si="51">W15+1</f>
        <v>2047</v>
      </c>
      <c r="Y15" s="67">
        <f t="shared" ref="Y15" si="52">X15+1</f>
        <v>2048</v>
      </c>
      <c r="Z15" s="67">
        <f t="shared" ref="Z15" si="53">Y15+1</f>
        <v>2049</v>
      </c>
      <c r="AA15" s="67">
        <f t="shared" ref="AA15" si="54">Z15+1</f>
        <v>2050</v>
      </c>
      <c r="AB15" s="67">
        <f t="shared" ref="AB15" si="55">AA15+1</f>
        <v>2051</v>
      </c>
      <c r="AC15" s="67">
        <f t="shared" ref="AC15" si="56">AB15+1</f>
        <v>2052</v>
      </c>
      <c r="AD15" s="67">
        <f t="shared" ref="AD15" si="57">AC15+1</f>
        <v>2053</v>
      </c>
      <c r="AE15" s="67">
        <f t="shared" ref="AE15" si="58">AD15+1</f>
        <v>2054</v>
      </c>
      <c r="AF15" s="76">
        <f t="shared" ref="AF15" si="59">AE15+1</f>
        <v>2055</v>
      </c>
    </row>
    <row r="16" spans="1:32" ht="13.8">
      <c r="B16" s="72" t="s">
        <v>308</v>
      </c>
      <c r="C16" s="141">
        <f>'Cash &amp; Assets'!AJ$8</f>
        <v>-17084.737371421594</v>
      </c>
      <c r="D16" s="142">
        <f>'Cash &amp; Assets'!$AJ$9</f>
        <v>-15658.038005534267</v>
      </c>
      <c r="E16" s="142">
        <f>'Cash &amp; Assets'!AJ$10</f>
        <v>-15759.885852150348</v>
      </c>
      <c r="F16" s="142">
        <f>'Cash &amp; Assets'!AJ$11</f>
        <v>-15869.91576338499</v>
      </c>
      <c r="G16" s="142">
        <f>'Cash &amp; Assets'!AJ$12</f>
        <v>-15988.426920592197</v>
      </c>
      <c r="H16" s="142">
        <f>'Cash &amp; Assets'!AJ$13</f>
        <v>-17615.727856700963</v>
      </c>
      <c r="I16" s="142">
        <f>'Cash &amp; Assets'!AJ$14</f>
        <v>-17734.181733046495</v>
      </c>
      <c r="J16" s="142">
        <f>'Cash &amp; Assets'!AJ$15</f>
        <v>-17843.399162087579</v>
      </c>
      <c r="K16" s="142">
        <f>'Cash &amp; Assets'!AJ$16</f>
        <v>-10816.966978960627</v>
      </c>
      <c r="L16" s="142">
        <f>'Cash &amp; Assets'!AJ$17</f>
        <v>-10875.506538934027</v>
      </c>
      <c r="M16" s="142">
        <f>'Cash &amp; Assets'!AJ$18</f>
        <v>-11450.481218185578</v>
      </c>
      <c r="N16" s="142">
        <f>'Cash &amp; Assets'!AJ$19</f>
        <v>-11571.692704704068</v>
      </c>
      <c r="O16" s="142">
        <f>'Cash &amp; Assets'!AJ$20</f>
        <v>-11704.223455570303</v>
      </c>
      <c r="P16" s="142">
        <f>'Cash &amp; Assets'!AJ$21</f>
        <v>-11848.533595513542</v>
      </c>
      <c r="Q16" s="142">
        <f>'Cash &amp; Assets'!AJ$22</f>
        <v>-12005.099356424704</v>
      </c>
      <c r="R16" s="142">
        <f>'Cash &amp; Assets'!AJ$23</f>
        <v>-12174.413615253005</v>
      </c>
      <c r="S16" s="142">
        <f>'Cash &amp; Assets'!AJ$24</f>
        <v>-12356.986449564331</v>
      </c>
      <c r="T16" s="142">
        <f>'Cash &amp; Assets'!AJ$25</f>
        <v>-12553.345711337772</v>
      </c>
      <c r="U16" s="142">
        <f>'Cash &amp; Assets'!AJ$26</f>
        <v>-12764.037619595189</v>
      </c>
      <c r="V16" s="142">
        <f>'Cash &amp; Assets'!AJ$27</f>
        <v>-12989.627372478266</v>
      </c>
      <c r="W16" s="142">
        <f>'Cash &amp; Assets'!AJ$28</f>
        <v>-13230.699779407423</v>
      </c>
      <c r="X16" s="142">
        <f>'Cash &amp; Assets'!AJ$29</f>
        <v>-13487.859913977636</v>
      </c>
      <c r="Y16" s="142">
        <f>'Cash &amp; Assets'!AJ$30</f>
        <v>-13761.733788267424</v>
      </c>
      <c r="Z16" s="142">
        <f>'Cash &amp; Assets'!AJ$31</f>
        <v>-14052.9690492595</v>
      </c>
      <c r="AA16" s="142">
        <f>'Cash &amp; Assets'!AJ$32</f>
        <v>-14362.235698094042</v>
      </c>
      <c r="AB16" s="142">
        <f>'Cash &amp; Assets'!AJ$33</f>
        <v>43332.336347175296</v>
      </c>
      <c r="AC16" s="142">
        <f>'Cash &amp; Assets'!AJ$34</f>
        <v>43776.911751514985</v>
      </c>
      <c r="AD16" s="142">
        <f>'Cash &amp; Assets'!AJ$35</f>
        <v>44227.044348408919</v>
      </c>
      <c r="AE16" s="142">
        <f>'Cash &amp; Assets'!AJ$36</f>
        <v>44682.803602764034</v>
      </c>
      <c r="AF16" s="143">
        <f>'Cash &amp; Assets'!AJ$37</f>
        <v>45144.259847798581</v>
      </c>
    </row>
    <row r="17" spans="1:32" ht="13.2" customHeight="1">
      <c r="B17" s="74" t="s">
        <v>309</v>
      </c>
      <c r="C17" s="141">
        <f>'Cash &amp; Assets'!AK$8</f>
        <v>-17084.737371421594</v>
      </c>
      <c r="D17" s="142">
        <f>'Cash &amp; Assets'!$AK$9</f>
        <v>-32742.775376955862</v>
      </c>
      <c r="E17" s="142">
        <f>'Cash &amp; Assets'!AK$10</f>
        <v>-48502.661229106212</v>
      </c>
      <c r="F17" s="142">
        <f>'Cash &amp; Assets'!AK$11</f>
        <v>-64372.576992491202</v>
      </c>
      <c r="G17" s="142">
        <f>'Cash &amp; Assets'!AK$12</f>
        <v>-80361.003913083405</v>
      </c>
      <c r="H17" s="142">
        <f>'Cash &amp; Assets'!AK$13</f>
        <v>-97976.731769784368</v>
      </c>
      <c r="I17" s="142">
        <f>'Cash &amp; Assets'!AK$14</f>
        <v>-115710.91350283087</v>
      </c>
      <c r="J17" s="142">
        <f>'Cash &amp; Assets'!AK$15</f>
        <v>-133554.31266491846</v>
      </c>
      <c r="K17" s="142">
        <f>'Cash &amp; Assets'!AK$16</f>
        <v>-144371.2796438791</v>
      </c>
      <c r="L17" s="142">
        <f>'Cash &amp; Assets'!AK$17</f>
        <v>-155246.78618281311</v>
      </c>
      <c r="M17" s="142">
        <f>'Cash &amp; Assets'!AK$18</f>
        <v>-166697.26740099868</v>
      </c>
      <c r="N17" s="142">
        <f>'Cash &amp; Assets'!AK$19</f>
        <v>-178268.96010570275</v>
      </c>
      <c r="O17" s="142">
        <f>'Cash &amp; Assets'!AK$20</f>
        <v>-189973.18356127304</v>
      </c>
      <c r="P17" s="142">
        <f>'Cash &amp; Assets'!AK$21</f>
        <v>-201821.71715678659</v>
      </c>
      <c r="Q17" s="142">
        <f>'Cash &amp; Assets'!AK$22</f>
        <v>-213826.81651321129</v>
      </c>
      <c r="R17" s="142">
        <f>'Cash &amp; Assets'!AK$23</f>
        <v>-226001.23012846429</v>
      </c>
      <c r="S17" s="142">
        <f>'Cash &amp; Assets'!AK$24</f>
        <v>-238358.21657802863</v>
      </c>
      <c r="T17" s="142">
        <f>'Cash &amp; Assets'!AK$25</f>
        <v>-250911.56228936641</v>
      </c>
      <c r="U17" s="142">
        <f>'Cash &amp; Assets'!AK$26</f>
        <v>-263675.59990896162</v>
      </c>
      <c r="V17" s="142">
        <f>'Cash &amp; Assets'!AK$27</f>
        <v>-276665.22728143987</v>
      </c>
      <c r="W17" s="142">
        <f>'Cash &amp; Assets'!AK$28</f>
        <v>-289895.92706084729</v>
      </c>
      <c r="X17" s="142">
        <f>'Cash &amp; Assets'!AK$29</f>
        <v>-303383.78697482491</v>
      </c>
      <c r="Y17" s="142">
        <f>'Cash &amp; Assets'!AK$30</f>
        <v>-317145.52076309233</v>
      </c>
      <c r="Z17" s="142">
        <f>'Cash &amp; Assets'!AK$31</f>
        <v>-331198.48981235182</v>
      </c>
      <c r="AA17" s="142">
        <f>'Cash &amp; Assets'!AK$32</f>
        <v>-345560.72551044589</v>
      </c>
      <c r="AB17" s="142">
        <f>'Cash &amp; Assets'!AK$33</f>
        <v>-302228.38916327059</v>
      </c>
      <c r="AC17" s="142">
        <f>'Cash &amp; Assets'!AK$34</f>
        <v>-258451.47741175559</v>
      </c>
      <c r="AD17" s="142">
        <f>'Cash &amp; Assets'!AK$35</f>
        <v>-214224.43306334666</v>
      </c>
      <c r="AE17" s="142">
        <f>'Cash &amp; Assets'!AK$36</f>
        <v>-169541.62946058263</v>
      </c>
      <c r="AF17" s="143">
        <f>'Cash &amp; Assets'!AK$37</f>
        <v>-124397.36961278404</v>
      </c>
    </row>
    <row r="18" spans="1:32" ht="14.4" thickBot="1">
      <c r="B18" s="498" t="s">
        <v>310</v>
      </c>
      <c r="C18" s="144">
        <f>C12</f>
        <v>-84009.981246700278</v>
      </c>
      <c r="D18" s="144">
        <f t="shared" ref="D18:K18" si="60">D12</f>
        <v>-57352.63257795875</v>
      </c>
      <c r="E18" s="144">
        <f t="shared" si="60"/>
        <v>-29727.70673561655</v>
      </c>
      <c r="F18" s="144">
        <f t="shared" si="60"/>
        <v>-1113.7768387156539</v>
      </c>
      <c r="G18" s="144">
        <f t="shared" si="60"/>
        <v>28511.122450458352</v>
      </c>
      <c r="H18" s="144">
        <f t="shared" si="60"/>
        <v>56169.509397720452</v>
      </c>
      <c r="I18" s="144">
        <f t="shared" si="60"/>
        <v>84859.675070012454</v>
      </c>
      <c r="J18" s="144">
        <f t="shared" si="60"/>
        <v>114579.50284039346</v>
      </c>
      <c r="K18" s="144">
        <f t="shared" si="60"/>
        <v>145259.90187948151</v>
      </c>
      <c r="L18" s="144">
        <f>L12</f>
        <v>176921.6528067668</v>
      </c>
      <c r="M18" s="144">
        <f>M12</f>
        <v>208007.734673345</v>
      </c>
      <c r="N18" s="144">
        <f>N12</f>
        <v>240183.92867276538</v>
      </c>
      <c r="O18" s="144">
        <f t="shared" ref="O18:AF18" si="61">O12</f>
        <v>273477.17944492656</v>
      </c>
      <c r="P18" s="144">
        <f t="shared" si="61"/>
        <v>307915.20707591949</v>
      </c>
      <c r="Q18" s="144">
        <f t="shared" si="61"/>
        <v>343526.53108203667</v>
      </c>
      <c r="R18" s="144">
        <f t="shared" si="61"/>
        <v>380340.49515827443</v>
      </c>
      <c r="S18" s="144">
        <f t="shared" si="61"/>
        <v>418387.29271599138</v>
      </c>
      <c r="T18" s="144">
        <f t="shared" si="61"/>
        <v>457697.99323517783</v>
      </c>
      <c r="U18" s="144">
        <f t="shared" si="61"/>
        <v>498304.56945762481</v>
      </c>
      <c r="V18" s="144">
        <f t="shared" si="61"/>
        <v>540239.92544812895</v>
      </c>
      <c r="W18" s="144">
        <f t="shared" si="61"/>
        <v>583537.92555174837</v>
      </c>
      <c r="X18" s="144">
        <f t="shared" si="61"/>
        <v>628233.42427603295</v>
      </c>
      <c r="Y18" s="144">
        <f t="shared" si="61"/>
        <v>674362.29712809506</v>
      </c>
      <c r="Z18" s="144">
        <f t="shared" si="61"/>
        <v>721961.47243734426</v>
      </c>
      <c r="AA18" s="144">
        <f t="shared" si="61"/>
        <v>771068.96419572248</v>
      </c>
      <c r="AB18" s="144">
        <f t="shared" si="61"/>
        <v>821723.90594829503</v>
      </c>
      <c r="AC18" s="144">
        <f t="shared" si="61"/>
        <v>872872.86045218445</v>
      </c>
      <c r="AD18" s="144">
        <f t="shared" si="61"/>
        <v>924521.76032987935</v>
      </c>
      <c r="AE18" s="144">
        <f t="shared" si="61"/>
        <v>976676.61082835682</v>
      </c>
      <c r="AF18" s="144">
        <f t="shared" si="61"/>
        <v>1029343.4907160169</v>
      </c>
    </row>
    <row r="19" spans="1:32" ht="14.4" thickBot="1">
      <c r="A19" s="65"/>
      <c r="B19" s="69"/>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row>
    <row r="20" spans="1:32" ht="18.600000000000001" thickBot="1">
      <c r="A20" s="65"/>
      <c r="B20" s="564" t="s">
        <v>160</v>
      </c>
      <c r="C20" s="504">
        <f t="shared" ref="C20:AF20" si="62">C$6</f>
        <v>2026</v>
      </c>
      <c r="D20" s="505">
        <f t="shared" si="62"/>
        <v>2027</v>
      </c>
      <c r="E20" s="505">
        <f t="shared" si="62"/>
        <v>2028</v>
      </c>
      <c r="F20" s="505">
        <f t="shared" si="62"/>
        <v>2029</v>
      </c>
      <c r="G20" s="505">
        <f t="shared" si="62"/>
        <v>2030</v>
      </c>
      <c r="H20" s="505">
        <f t="shared" si="62"/>
        <v>2031</v>
      </c>
      <c r="I20" s="505">
        <f t="shared" si="62"/>
        <v>2032</v>
      </c>
      <c r="J20" s="505">
        <f t="shared" si="62"/>
        <v>2033</v>
      </c>
      <c r="K20" s="505">
        <f t="shared" si="62"/>
        <v>2034</v>
      </c>
      <c r="L20" s="505">
        <f t="shared" si="62"/>
        <v>2035</v>
      </c>
      <c r="M20" s="505">
        <f t="shared" si="62"/>
        <v>2036</v>
      </c>
      <c r="N20" s="505">
        <f t="shared" si="62"/>
        <v>2037</v>
      </c>
      <c r="O20" s="505">
        <f t="shared" si="62"/>
        <v>2038</v>
      </c>
      <c r="P20" s="505">
        <f t="shared" si="62"/>
        <v>2039</v>
      </c>
      <c r="Q20" s="505">
        <f t="shared" si="62"/>
        <v>2040</v>
      </c>
      <c r="R20" s="505">
        <f t="shared" si="62"/>
        <v>2041</v>
      </c>
      <c r="S20" s="505">
        <f t="shared" si="62"/>
        <v>2042</v>
      </c>
      <c r="T20" s="505">
        <f t="shared" si="62"/>
        <v>2043</v>
      </c>
      <c r="U20" s="505">
        <f t="shared" si="62"/>
        <v>2044</v>
      </c>
      <c r="V20" s="505">
        <f t="shared" si="62"/>
        <v>2045</v>
      </c>
      <c r="W20" s="505">
        <f t="shared" si="62"/>
        <v>2046</v>
      </c>
      <c r="X20" s="505">
        <f t="shared" si="62"/>
        <v>2047</v>
      </c>
      <c r="Y20" s="505">
        <f t="shared" si="62"/>
        <v>2048</v>
      </c>
      <c r="Z20" s="505">
        <f t="shared" si="62"/>
        <v>2049</v>
      </c>
      <c r="AA20" s="505">
        <f t="shared" si="62"/>
        <v>2050</v>
      </c>
      <c r="AB20" s="505">
        <f t="shared" si="62"/>
        <v>2051</v>
      </c>
      <c r="AC20" s="505">
        <f t="shared" si="62"/>
        <v>2052</v>
      </c>
      <c r="AD20" s="505">
        <f t="shared" si="62"/>
        <v>2053</v>
      </c>
      <c r="AE20" s="505">
        <f t="shared" si="62"/>
        <v>2054</v>
      </c>
      <c r="AF20" s="506">
        <f t="shared" si="62"/>
        <v>2055</v>
      </c>
    </row>
    <row r="21" spans="1:32" ht="13.8">
      <c r="A21" s="65"/>
      <c r="B21" s="72" t="s">
        <v>157</v>
      </c>
      <c r="C21" s="141">
        <f>C10</f>
        <v>1048200</v>
      </c>
      <c r="D21" s="141">
        <f t="shared" ref="D21:AF21" si="63">D10</f>
        <v>1013125.2438752787</v>
      </c>
      <c r="E21" s="141">
        <f t="shared" si="63"/>
        <v>977050.85720100289</v>
      </c>
      <c r="F21" s="141">
        <f t="shared" si="63"/>
        <v>939948.35050651012</v>
      </c>
      <c r="G21" s="141">
        <f t="shared" si="63"/>
        <v>901788.42237122427</v>
      </c>
      <c r="H21" s="141">
        <f t="shared" si="63"/>
        <v>862540.93628408283</v>
      </c>
      <c r="I21" s="141">
        <f t="shared" si="63"/>
        <v>823674.89684345783</v>
      </c>
      <c r="J21" s="141">
        <f t="shared" si="63"/>
        <v>785218.36363570392</v>
      </c>
      <c r="K21" s="141">
        <f t="shared" si="63"/>
        <v>751226.45014780329</v>
      </c>
      <c r="L21" s="141">
        <f t="shared" si="63"/>
        <v>716265.76712549757</v>
      </c>
      <c r="M21" s="141">
        <f t="shared" si="63"/>
        <v>680308.7046370561</v>
      </c>
      <c r="N21" s="141">
        <f t="shared" si="63"/>
        <v>644396.17435768596</v>
      </c>
      <c r="O21" s="141">
        <f t="shared" si="63"/>
        <v>607316.48684423626</v>
      </c>
      <c r="P21" s="141">
        <f t="shared" si="63"/>
        <v>569031.70948659943</v>
      </c>
      <c r="Q21" s="141">
        <f t="shared" si="63"/>
        <v>529502.67686483939</v>
      </c>
      <c r="R21" s="141">
        <f t="shared" si="63"/>
        <v>488688.95068287221</v>
      </c>
      <c r="S21" s="141">
        <f t="shared" si="63"/>
        <v>446548.7783999911</v>
      </c>
      <c r="T21" s="141">
        <f t="shared" si="63"/>
        <v>403039.05051791633</v>
      </c>
      <c r="U21" s="141">
        <f t="shared" si="63"/>
        <v>358115.25647967414</v>
      </c>
      <c r="V21" s="141">
        <f t="shared" si="63"/>
        <v>311731.43913518905</v>
      </c>
      <c r="W21" s="141">
        <f t="shared" si="63"/>
        <v>263840.14772700821</v>
      </c>
      <c r="X21" s="141">
        <f t="shared" si="63"/>
        <v>214392.38934806152</v>
      </c>
      <c r="Y21" s="141">
        <f t="shared" si="63"/>
        <v>163337.57882179905</v>
      </c>
      <c r="Z21" s="141">
        <f t="shared" si="63"/>
        <v>110623.48695343305</v>
      </c>
      <c r="AA21" s="141">
        <f t="shared" si="63"/>
        <v>56196.187099345159</v>
      </c>
      <c r="AB21" s="141">
        <f t="shared" si="63"/>
        <v>0</v>
      </c>
      <c r="AC21" s="141">
        <f t="shared" si="63"/>
        <v>0</v>
      </c>
      <c r="AD21" s="141">
        <f t="shared" si="63"/>
        <v>0</v>
      </c>
      <c r="AE21" s="141">
        <f t="shared" si="63"/>
        <v>0</v>
      </c>
      <c r="AF21" s="507">
        <f t="shared" si="63"/>
        <v>0</v>
      </c>
    </row>
    <row r="22" spans="1:32" ht="13.8">
      <c r="A22" s="65"/>
      <c r="B22" s="73" t="s">
        <v>158</v>
      </c>
      <c r="C22" s="141">
        <f>'Cash &amp; Assets'!S$8</f>
        <v>35074.756124721353</v>
      </c>
      <c r="D22" s="142">
        <f>'Cash &amp; Assets'!$S$9</f>
        <v>36074.386674275913</v>
      </c>
      <c r="E22" s="142">
        <f>'Cash &amp; Assets'!S$10</f>
        <v>37102.506694492775</v>
      </c>
      <c r="F22" s="142">
        <f>'Cash &amp; Assets'!S$11</f>
        <v>38159.928135285816</v>
      </c>
      <c r="G22" s="142">
        <f>'Cash &amp; Assets'!S$12</f>
        <v>39247.486087141464</v>
      </c>
      <c r="H22" s="142">
        <f>'Cash &amp; Assets'!S$13</f>
        <v>38866.039440624991</v>
      </c>
      <c r="I22" s="142">
        <f>'Cash &amp; Assets'!S$14</f>
        <v>39973.721564682812</v>
      </c>
      <c r="J22" s="142">
        <f>'Cash &amp; Assets'!S$15</f>
        <v>41069.732761103798</v>
      </c>
      <c r="K22" s="142">
        <f>'Cash &amp; Assets'!S$16</f>
        <v>34960.683022305762</v>
      </c>
      <c r="L22" s="142">
        <f>'Cash &amp; Assets'!S$17</f>
        <v>35957.062488441479</v>
      </c>
      <c r="M22" s="142">
        <f>'Cash &amp; Assets'!S$18</f>
        <v>35912.530279370141</v>
      </c>
      <c r="N22" s="142">
        <f>'Cash &amp; Assets'!S$19</f>
        <v>37079.687513449673</v>
      </c>
      <c r="O22" s="142">
        <f>'Cash &amp; Assets'!S$20</f>
        <v>38284.777357636791</v>
      </c>
      <c r="P22" s="142">
        <f>'Cash &amp; Assets'!S$21</f>
        <v>39529.03262175998</v>
      </c>
      <c r="Q22" s="142">
        <f>'Cash &amp; Assets'!S$22</f>
        <v>40813.726181967184</v>
      </c>
      <c r="R22" s="142">
        <f>'Cash &amp; Assets'!S$23</f>
        <v>42140.172282881118</v>
      </c>
      <c r="S22" s="142">
        <f>'Cash &amp; Assets'!S$24</f>
        <v>43509.72788207476</v>
      </c>
      <c r="T22" s="142">
        <f>'Cash &amp; Assets'!S$25</f>
        <v>44923.794038242188</v>
      </c>
      <c r="U22" s="142">
        <f>'Cash &amp; Assets'!S$26</f>
        <v>46383.817344485054</v>
      </c>
      <c r="V22" s="142">
        <f>'Cash &amp; Assets'!S$27</f>
        <v>47891.291408180827</v>
      </c>
      <c r="W22" s="142">
        <f>'Cash &amp; Assets'!S$28</f>
        <v>49447.758378946703</v>
      </c>
      <c r="X22" s="142">
        <f>'Cash &amp; Assets'!S$29</f>
        <v>51054.810526262467</v>
      </c>
      <c r="Y22" s="142">
        <f>'Cash &amp; Assets'!S$30</f>
        <v>52714.091868365998</v>
      </c>
      <c r="Z22" s="142">
        <f>'Cash &amp; Assets'!S$31</f>
        <v>54427.299854087891</v>
      </c>
      <c r="AA22" s="142">
        <f>'Cash &amp; Assets'!S$32</f>
        <v>56196.187099345749</v>
      </c>
      <c r="AB22" s="142">
        <f>'Cash &amp; Assets'!S$33</f>
        <v>0</v>
      </c>
      <c r="AC22" s="142">
        <f>'Cash &amp; Assets'!S$34</f>
        <v>0</v>
      </c>
      <c r="AD22" s="142">
        <f>'Cash &amp; Assets'!S$35</f>
        <v>0</v>
      </c>
      <c r="AE22" s="142">
        <f>'Cash &amp; Assets'!S$36</f>
        <v>0</v>
      </c>
      <c r="AF22" s="508">
        <f>'Cash &amp; Assets'!S$37</f>
        <v>0</v>
      </c>
    </row>
    <row r="23" spans="1:32" ht="14.4" thickBot="1">
      <c r="A23" s="65"/>
      <c r="B23" s="75" t="s">
        <v>159</v>
      </c>
      <c r="C23" s="144">
        <f>C22</f>
        <v>35074.756124721353</v>
      </c>
      <c r="D23" s="145">
        <f>D22+C23</f>
        <v>71149.142798997258</v>
      </c>
      <c r="E23" s="145">
        <f t="shared" ref="E23:AF23" si="64">E22+D23</f>
        <v>108251.64949349003</v>
      </c>
      <c r="F23" s="145">
        <f t="shared" si="64"/>
        <v>146411.57762877585</v>
      </c>
      <c r="G23" s="145">
        <f t="shared" si="64"/>
        <v>185659.06371591732</v>
      </c>
      <c r="H23" s="145">
        <f t="shared" si="64"/>
        <v>224525.10315654232</v>
      </c>
      <c r="I23" s="145">
        <f t="shared" si="64"/>
        <v>264498.82472122513</v>
      </c>
      <c r="J23" s="145">
        <f t="shared" si="64"/>
        <v>305568.55748232891</v>
      </c>
      <c r="K23" s="145">
        <f t="shared" si="64"/>
        <v>340529.24050463468</v>
      </c>
      <c r="L23" s="145">
        <f t="shared" si="64"/>
        <v>376486.30299307615</v>
      </c>
      <c r="M23" s="145">
        <f t="shared" si="64"/>
        <v>412398.8332724463</v>
      </c>
      <c r="N23" s="145">
        <f t="shared" si="64"/>
        <v>449478.52078589599</v>
      </c>
      <c r="O23" s="145">
        <f t="shared" si="64"/>
        <v>487763.29814353277</v>
      </c>
      <c r="P23" s="145">
        <f t="shared" si="64"/>
        <v>527292.33076529275</v>
      </c>
      <c r="Q23" s="145">
        <f t="shared" si="64"/>
        <v>568106.05694725993</v>
      </c>
      <c r="R23" s="145">
        <f t="shared" si="64"/>
        <v>610246.22923014103</v>
      </c>
      <c r="S23" s="145">
        <f t="shared" si="64"/>
        <v>653755.95711221581</v>
      </c>
      <c r="T23" s="145">
        <f t="shared" si="64"/>
        <v>698679.751150458</v>
      </c>
      <c r="U23" s="145">
        <f t="shared" si="64"/>
        <v>745063.56849494309</v>
      </c>
      <c r="V23" s="145">
        <f t="shared" si="64"/>
        <v>792954.85990312393</v>
      </c>
      <c r="W23" s="145">
        <f t="shared" si="64"/>
        <v>842402.61828207062</v>
      </c>
      <c r="X23" s="145">
        <f t="shared" si="64"/>
        <v>893457.42880833312</v>
      </c>
      <c r="Y23" s="145">
        <f t="shared" si="64"/>
        <v>946171.52067669912</v>
      </c>
      <c r="Z23" s="145">
        <f t="shared" si="64"/>
        <v>1000598.820530787</v>
      </c>
      <c r="AA23" s="145">
        <f t="shared" si="64"/>
        <v>1056795.0076301328</v>
      </c>
      <c r="AB23" s="145">
        <f t="shared" si="64"/>
        <v>1056795.0076301328</v>
      </c>
      <c r="AC23" s="145">
        <f t="shared" si="64"/>
        <v>1056795.0076301328</v>
      </c>
      <c r="AD23" s="145">
        <f t="shared" si="64"/>
        <v>1056795.0076301328</v>
      </c>
      <c r="AE23" s="145">
        <f t="shared" si="64"/>
        <v>1056795.0076301328</v>
      </c>
      <c r="AF23" s="509">
        <f t="shared" si="64"/>
        <v>1056795.0076301328</v>
      </c>
    </row>
    <row r="24" spans="1:32" ht="13.8">
      <c r="A24" s="65"/>
      <c r="B24" s="73" t="s">
        <v>156</v>
      </c>
      <c r="C24" s="141">
        <f>D21</f>
        <v>1013125.2438752787</v>
      </c>
      <c r="D24" s="141">
        <f t="shared" ref="D24:AF24" si="65">E21</f>
        <v>977050.85720100289</v>
      </c>
      <c r="E24" s="141">
        <f t="shared" si="65"/>
        <v>939948.35050651012</v>
      </c>
      <c r="F24" s="141">
        <f t="shared" si="65"/>
        <v>901788.42237122427</v>
      </c>
      <c r="G24" s="141">
        <f t="shared" si="65"/>
        <v>862540.93628408283</v>
      </c>
      <c r="H24" s="141">
        <f t="shared" si="65"/>
        <v>823674.89684345783</v>
      </c>
      <c r="I24" s="141">
        <f t="shared" si="65"/>
        <v>785218.36363570392</v>
      </c>
      <c r="J24" s="141">
        <f t="shared" si="65"/>
        <v>751226.45014780329</v>
      </c>
      <c r="K24" s="141">
        <f t="shared" si="65"/>
        <v>716265.76712549757</v>
      </c>
      <c r="L24" s="141">
        <f t="shared" si="65"/>
        <v>680308.7046370561</v>
      </c>
      <c r="M24" s="141">
        <f t="shared" si="65"/>
        <v>644396.17435768596</v>
      </c>
      <c r="N24" s="141">
        <f t="shared" si="65"/>
        <v>607316.48684423626</v>
      </c>
      <c r="O24" s="141">
        <f t="shared" si="65"/>
        <v>569031.70948659943</v>
      </c>
      <c r="P24" s="141">
        <f t="shared" si="65"/>
        <v>529502.67686483939</v>
      </c>
      <c r="Q24" s="141">
        <f t="shared" si="65"/>
        <v>488688.95068287221</v>
      </c>
      <c r="R24" s="141">
        <f t="shared" si="65"/>
        <v>446548.7783999911</v>
      </c>
      <c r="S24" s="141">
        <f t="shared" si="65"/>
        <v>403039.05051791633</v>
      </c>
      <c r="T24" s="141">
        <f t="shared" si="65"/>
        <v>358115.25647967414</v>
      </c>
      <c r="U24" s="141">
        <f t="shared" si="65"/>
        <v>311731.43913518905</v>
      </c>
      <c r="V24" s="141">
        <f t="shared" si="65"/>
        <v>263840.14772700821</v>
      </c>
      <c r="W24" s="141">
        <f t="shared" si="65"/>
        <v>214392.38934806152</v>
      </c>
      <c r="X24" s="141">
        <f t="shared" si="65"/>
        <v>163337.57882179905</v>
      </c>
      <c r="Y24" s="141">
        <f t="shared" si="65"/>
        <v>110623.48695343305</v>
      </c>
      <c r="Z24" s="141">
        <f t="shared" si="65"/>
        <v>56196.187099345159</v>
      </c>
      <c r="AA24" s="141">
        <f t="shared" si="65"/>
        <v>0</v>
      </c>
      <c r="AB24" s="141">
        <f t="shared" si="65"/>
        <v>0</v>
      </c>
      <c r="AC24" s="141">
        <f t="shared" si="65"/>
        <v>0</v>
      </c>
      <c r="AD24" s="141">
        <f t="shared" si="65"/>
        <v>0</v>
      </c>
      <c r="AE24" s="141">
        <f t="shared" si="65"/>
        <v>0</v>
      </c>
      <c r="AF24" s="507">
        <f t="shared" si="65"/>
        <v>0</v>
      </c>
    </row>
    <row r="25" spans="1:32" ht="13.8">
      <c r="A25" s="65"/>
      <c r="B25" s="73" t="s">
        <v>166</v>
      </c>
      <c r="C25" s="141">
        <f>'Cash &amp; Assets'!G$8+'Cash &amp; Assets'!O$8</f>
        <v>-29873.7</v>
      </c>
      <c r="D25" s="142">
        <f>'Cash &amp; Assets'!$G$9+'Cash &amp; Assets'!O$9</f>
        <v>-28874.069450445444</v>
      </c>
      <c r="E25" s="142">
        <f>'Cash &amp; Assets'!G$10+'Cash &amp; Assets'!O$10</f>
        <v>-27845.949430228582</v>
      </c>
      <c r="F25" s="142">
        <f>'Cash &amp; Assets'!G$11+'Cash &amp; Assets'!O$11</f>
        <v>-26788.527989435541</v>
      </c>
      <c r="G25" s="142">
        <f>'Cash &amp; Assets'!G$12+'Cash &amp; Assets'!O$12</f>
        <v>-25700.970037579893</v>
      </c>
      <c r="H25" s="142">
        <f>'Cash &amp; Assets'!G$13+'Cash &amp; Assets'!O$13</f>
        <v>-24582.416684096359</v>
      </c>
      <c r="I25" s="142">
        <f>'Cash &amp; Assets'!G$14+'Cash &amp; Assets'!O$14</f>
        <v>-23474.734560038549</v>
      </c>
      <c r="J25" s="142">
        <f>'Cash &amp; Assets'!G$15+'Cash &amp; Assets'!O$15</f>
        <v>-22378.723363617562</v>
      </c>
      <c r="K25" s="142">
        <f>'Cash &amp; Assets'!G$16+'Cash &amp; Assets'!O$16</f>
        <v>-21409.953829212394</v>
      </c>
      <c r="L25" s="142">
        <f>'Cash &amp; Assets'!G$17+'Cash &amp; Assets'!O$17</f>
        <v>-20413.574363076681</v>
      </c>
      <c r="M25" s="142">
        <f>'Cash &amp; Assets'!G$18+'Cash &amp; Assets'!O$18</f>
        <v>-22110.032900704326</v>
      </c>
      <c r="N25" s="142">
        <f>'Cash &amp; Assets'!G$19+'Cash &amp; Assets'!O$19</f>
        <v>-20942.875666624794</v>
      </c>
      <c r="O25" s="142">
        <f>'Cash &amp; Assets'!G$20+'Cash &amp; Assets'!O$20</f>
        <v>-19737.78582243768</v>
      </c>
      <c r="P25" s="142">
        <f>'Cash &amp; Assets'!G$21+'Cash &amp; Assets'!O$21</f>
        <v>-18493.530558314484</v>
      </c>
      <c r="Q25" s="142">
        <f>'Cash &amp; Assets'!G$22+'Cash &amp; Assets'!O$22</f>
        <v>-17208.836998107279</v>
      </c>
      <c r="R25" s="142">
        <f>'Cash &amp; Assets'!G$23+'Cash &amp; Assets'!O$23</f>
        <v>-15882.390897193347</v>
      </c>
      <c r="S25" s="142">
        <f>'Cash &amp; Assets'!G$24+'Cash &amp; Assets'!O$24</f>
        <v>-14512.835297999711</v>
      </c>
      <c r="T25" s="142">
        <f>'Cash &amp; Assets'!G$25+'Cash &amp; Assets'!O$25</f>
        <v>-13098.769141832281</v>
      </c>
      <c r="U25" s="142">
        <f>'Cash &amp; Assets'!G$26+'Cash &amp; Assets'!O$26</f>
        <v>-11638.74583558941</v>
      </c>
      <c r="V25" s="142">
        <f>'Cash &amp; Assets'!G$27+'Cash &amp; Assets'!O$27</f>
        <v>-10131.271771893644</v>
      </c>
      <c r="W25" s="142">
        <f>'Cash &amp; Assets'!G$28+'Cash &amp; Assets'!O$28</f>
        <v>-8574.8048011277679</v>
      </c>
      <c r="X25" s="142">
        <f>'Cash &amp; Assets'!G$29+'Cash &amp; Assets'!O$29</f>
        <v>-6967.7526538120001</v>
      </c>
      <c r="Y25" s="142">
        <f>'Cash &amp; Assets'!G$30+'Cash &amp; Assets'!O$30</f>
        <v>-5308.4713117084693</v>
      </c>
      <c r="Z25" s="142">
        <f>'Cash &amp; Assets'!G$31+'Cash &amp; Assets'!O$31</f>
        <v>-3595.2633259865743</v>
      </c>
      <c r="AA25" s="142">
        <f>'Cash &amp; Assets'!G$32+'Cash &amp; Assets'!O$32</f>
        <v>-1826.3760807287179</v>
      </c>
      <c r="AB25" s="142">
        <f>'Cash &amp; Assets'!G$33+'Cash &amp; Assets'!O$33</f>
        <v>0</v>
      </c>
      <c r="AC25" s="142">
        <f>'Cash &amp; Assets'!G$34+'Cash &amp; Assets'!O$34</f>
        <v>0</v>
      </c>
      <c r="AD25" s="142">
        <f>'Cash &amp; Assets'!G$35+'Cash &amp; Assets'!O$35</f>
        <v>0</v>
      </c>
      <c r="AE25" s="142">
        <f>'Cash &amp; Assets'!G$36+'Cash &amp; Assets'!O$36</f>
        <v>0</v>
      </c>
      <c r="AF25" s="508">
        <f>'Cash &amp; Assets'!G$37+'Cash &amp; Assets'!O$37</f>
        <v>0</v>
      </c>
    </row>
    <row r="26" spans="1:32" ht="14.4" thickBot="1">
      <c r="A26" s="65"/>
      <c r="B26" s="71" t="s">
        <v>161</v>
      </c>
      <c r="C26" s="510">
        <f>'Cash &amp; Assets'!F$8+'Cash &amp; Assets'!N$8</f>
        <v>-63448.456124721357</v>
      </c>
      <c r="D26" s="511">
        <f>'Cash &amp; Assets'!$F$9+'Cash &amp; Assets'!N$9</f>
        <v>-63448.456124721357</v>
      </c>
      <c r="E26" s="511">
        <f>'Cash &amp; Assets'!F$10+'Cash &amp; Assets'!N$10</f>
        <v>-63448.456124721357</v>
      </c>
      <c r="F26" s="511">
        <f>'Cash &amp; Assets'!F$11+'Cash &amp; Assets'!N$11</f>
        <v>-63448.456124721357</v>
      </c>
      <c r="G26" s="511">
        <f>'Cash &amp; Assets'!F$12+'Cash &amp; Assets'!N$12</f>
        <v>-63448.456124721357</v>
      </c>
      <c r="H26" s="511">
        <f>'Cash &amp; Assets'!F$13+'Cash &amp; Assets'!N$13</f>
        <v>-63448.456124721357</v>
      </c>
      <c r="I26" s="511">
        <f>'Cash &amp; Assets'!F$14+'Cash &amp; Assets'!N$14</f>
        <v>-63448.456124721357</v>
      </c>
      <c r="J26" s="511">
        <f>'Cash &amp; Assets'!F$15+'Cash &amp; Assets'!N$15</f>
        <v>-63448.456124721357</v>
      </c>
      <c r="K26" s="511">
        <f>'Cash &amp; Assets'!F$16+'Cash &amp; Assets'!N$16</f>
        <v>-56370.63685151816</v>
      </c>
      <c r="L26" s="511">
        <f>'Cash &amp; Assets'!F$17+'Cash &amp; Assets'!N$17</f>
        <v>-56370.63685151816</v>
      </c>
      <c r="M26" s="511">
        <f>'Cash &amp; Assets'!F$18+'Cash &amp; Assets'!N$18</f>
        <v>-58022.563180074467</v>
      </c>
      <c r="N26" s="511">
        <f>'Cash &amp; Assets'!F$19+'Cash &amp; Assets'!N$19</f>
        <v>-58022.563180074467</v>
      </c>
      <c r="O26" s="511">
        <f>'Cash &amp; Assets'!F$20+'Cash &amp; Assets'!N$20</f>
        <v>-58022.563180074467</v>
      </c>
      <c r="P26" s="511">
        <f>'Cash &amp; Assets'!F$21+'Cash &amp; Assets'!N$21</f>
        <v>-58022.563180074467</v>
      </c>
      <c r="Q26" s="511">
        <f>'Cash &amp; Assets'!F$22+'Cash &amp; Assets'!N$22</f>
        <v>-58022.563180074467</v>
      </c>
      <c r="R26" s="511">
        <f>'Cash &amp; Assets'!F$23+'Cash &amp; Assets'!N$23</f>
        <v>-58022.563180074467</v>
      </c>
      <c r="S26" s="511">
        <f>'Cash &amp; Assets'!F$24+'Cash &amp; Assets'!N$24</f>
        <v>-58022.563180074467</v>
      </c>
      <c r="T26" s="511">
        <f>'Cash &amp; Assets'!F$25+'Cash &amp; Assets'!N$25</f>
        <v>-58022.563180074467</v>
      </c>
      <c r="U26" s="511">
        <f>'Cash &amp; Assets'!F$26+'Cash &amp; Assets'!N$26</f>
        <v>-58022.563180074467</v>
      </c>
      <c r="V26" s="511">
        <f>'Cash &amp; Assets'!F$27+'Cash &amp; Assets'!N$27</f>
        <v>-58022.563180074467</v>
      </c>
      <c r="W26" s="511">
        <f>'Cash &amp; Assets'!F$28+'Cash &amp; Assets'!N$28</f>
        <v>-58022.563180074467</v>
      </c>
      <c r="X26" s="511">
        <f>'Cash &amp; Assets'!F$29+'Cash &amp; Assets'!N$29</f>
        <v>-58022.563180074467</v>
      </c>
      <c r="Y26" s="511">
        <f>'Cash &amp; Assets'!F$30+'Cash &amp; Assets'!N$30</f>
        <v>-58022.563180074467</v>
      </c>
      <c r="Z26" s="511">
        <f>'Cash &amp; Assets'!F$31+'Cash &amp; Assets'!N$31</f>
        <v>-58022.563180074467</v>
      </c>
      <c r="AA26" s="511">
        <f>'Cash &amp; Assets'!F$32+'Cash &amp; Assets'!N$32</f>
        <v>-58022.563180074467</v>
      </c>
      <c r="AB26" s="511">
        <f>'Cash &amp; Assets'!F$33+'Cash &amp; Assets'!N$33</f>
        <v>0</v>
      </c>
      <c r="AC26" s="511">
        <f>'Cash &amp; Assets'!F$34+'Cash &amp; Assets'!N$34</f>
        <v>0</v>
      </c>
      <c r="AD26" s="511">
        <f>'Cash &amp; Assets'!F$35+'Cash &amp; Assets'!N$35</f>
        <v>0</v>
      </c>
      <c r="AE26" s="511">
        <f>'Cash &amp; Assets'!F$36+'Cash &amp; Assets'!N$36</f>
        <v>0</v>
      </c>
      <c r="AF26" s="512">
        <f>'Cash &amp; Assets'!F$37+'Cash &amp; Assets'!N$37</f>
        <v>0</v>
      </c>
    </row>
    <row r="27" spans="1:32">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row>
    <row r="28" spans="1:32" ht="15" thickBot="1">
      <c r="A28" s="65"/>
      <c r="B28" s="65"/>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row>
    <row r="29" spans="1:32" ht="15" thickTop="1">
      <c r="A29" s="65"/>
      <c r="B29" s="22" t="s">
        <v>164</v>
      </c>
      <c r="C29" s="65"/>
      <c r="D29" s="65"/>
      <c r="E29" s="65"/>
      <c r="F29" s="65"/>
      <c r="G29" s="65"/>
      <c r="H29" s="65"/>
      <c r="I29" s="65"/>
      <c r="J29" s="65"/>
      <c r="K29" s="65"/>
      <c r="L29" s="686" t="s">
        <v>172</v>
      </c>
      <c r="M29" s="687"/>
      <c r="N29" s="687"/>
      <c r="O29" s="688"/>
      <c r="P29" s="65"/>
      <c r="Q29" s="65"/>
      <c r="R29" s="65"/>
      <c r="S29" s="65"/>
      <c r="T29" s="65"/>
      <c r="U29" s="65"/>
      <c r="V29" s="65"/>
      <c r="W29" s="65"/>
      <c r="X29" s="65"/>
      <c r="Y29" s="65"/>
      <c r="Z29" s="65"/>
      <c r="AA29" s="65"/>
      <c r="AB29" s="65"/>
      <c r="AC29" s="65"/>
      <c r="AD29" s="65"/>
      <c r="AE29" s="65"/>
      <c r="AF29" s="65"/>
    </row>
    <row r="30" spans="1:32" ht="16.2">
      <c r="B30" s="104" t="s">
        <v>9</v>
      </c>
      <c r="C30" s="107"/>
      <c r="D30" s="107"/>
      <c r="E30" s="107"/>
      <c r="L30" s="87" t="s">
        <v>138</v>
      </c>
      <c r="M30" s="689" t="str">
        <f>Parameter!G2</f>
        <v>Ladengeschäft,  Musterstraße 123, 45678 Irgendwo</v>
      </c>
      <c r="N30" s="689"/>
      <c r="O30" s="690"/>
    </row>
    <row r="31" spans="1:32" ht="13.8">
      <c r="L31" s="87" t="s">
        <v>217</v>
      </c>
      <c r="M31" s="112"/>
      <c r="N31" s="86" t="s">
        <v>216</v>
      </c>
      <c r="O31" s="88">
        <f>Parameter!B16</f>
        <v>1148200</v>
      </c>
    </row>
    <row r="32" spans="1:32" ht="15.6" thickBot="1">
      <c r="B32" s="6" t="s">
        <v>45</v>
      </c>
      <c r="C32" s="2"/>
      <c r="D32" s="2"/>
      <c r="E32" s="2"/>
      <c r="F32" s="2"/>
      <c r="G32" s="2"/>
      <c r="H32" s="2"/>
      <c r="L32" s="89" t="s">
        <v>139</v>
      </c>
      <c r="M32" s="90">
        <f>Parameter!B7</f>
        <v>144</v>
      </c>
      <c r="N32" s="91" t="s">
        <v>168</v>
      </c>
      <c r="O32" s="92">
        <f>Parameter!I3</f>
        <v>500</v>
      </c>
    </row>
    <row r="33" spans="2:15" ht="15.6" thickTop="1">
      <c r="B33" s="3" t="s">
        <v>46</v>
      </c>
      <c r="C33" s="2"/>
      <c r="D33" s="2"/>
      <c r="E33" s="2"/>
      <c r="F33" s="2"/>
      <c r="G33" s="2"/>
      <c r="H33" s="2"/>
      <c r="L33" s="3"/>
      <c r="M33" s="3"/>
      <c r="N33" s="7"/>
      <c r="O33" s="7"/>
    </row>
    <row r="34" spans="2:15" ht="15">
      <c r="B34" s="3" t="s">
        <v>47</v>
      </c>
      <c r="C34" s="2"/>
      <c r="D34" s="2"/>
      <c r="E34" s="2"/>
      <c r="F34" s="2"/>
      <c r="G34" s="2"/>
      <c r="H34" s="2"/>
    </row>
    <row r="35" spans="2:15" ht="15">
      <c r="B35" s="3" t="s">
        <v>135</v>
      </c>
      <c r="C35" s="2"/>
      <c r="D35" s="2"/>
      <c r="E35" s="2"/>
      <c r="F35" s="2"/>
      <c r="G35" s="2"/>
      <c r="H35" s="2"/>
    </row>
    <row r="36" spans="2:15" ht="15">
      <c r="B36" s="3" t="s">
        <v>261</v>
      </c>
      <c r="C36" s="2"/>
      <c r="D36" s="2"/>
      <c r="E36" s="2"/>
      <c r="F36" s="2"/>
      <c r="G36" s="2"/>
      <c r="H36" s="2"/>
    </row>
    <row r="37" spans="2:15" ht="15">
      <c r="B37" s="3" t="s">
        <v>262</v>
      </c>
      <c r="C37" s="2"/>
      <c r="D37" s="2"/>
      <c r="E37" s="2"/>
      <c r="F37" s="2"/>
      <c r="G37" s="2"/>
      <c r="H37" s="2"/>
    </row>
    <row r="38" spans="2:15" ht="13.8">
      <c r="B38" s="3"/>
    </row>
    <row r="39" spans="2:15" ht="13.8">
      <c r="B39" s="22"/>
    </row>
    <row r="41" spans="2:15" ht="16.2">
      <c r="B41" s="122" t="s">
        <v>242</v>
      </c>
    </row>
    <row r="42" spans="2:15" ht="16.2">
      <c r="B42" s="57" t="s">
        <v>10</v>
      </c>
    </row>
  </sheetData>
  <mergeCells count="4">
    <mergeCell ref="L29:O29"/>
    <mergeCell ref="M30:O30"/>
    <mergeCell ref="D2:G2"/>
    <mergeCell ref="I2:L2"/>
  </mergeCells>
  <dataValidations count="1">
    <dataValidation allowBlank="1" showErrorMessage="1" sqref="L29:O33 M2:AF4 I3:L4 AG2:AG10 I5:AF10 B2:C10 H2:H10 D3:G10 B11:AG28" xr:uid="{00000000-0002-0000-0300-000000000000}"/>
  </dataValidations>
  <hyperlinks>
    <hyperlink ref="B42" r:id="rId1" xr:uid="{00000000-0004-0000-0300-000000000000}"/>
  </hyperlinks>
  <pageMargins left="0.7" right="0.7" top="0.78740157499999996" bottom="0.78740157499999996" header="0.3" footer="0.3"/>
  <pageSetup paperSize="9"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24"/>
  <sheetViews>
    <sheetView topLeftCell="A91" zoomScaleNormal="100" zoomScaleSheetLayoutView="90" workbookViewId="0">
      <selection activeCell="I49" sqref="I49"/>
    </sheetView>
  </sheetViews>
  <sheetFormatPr baseColWidth="10" defaultRowHeight="13.2"/>
  <cols>
    <col min="1" max="1" width="4.5546875" customWidth="1"/>
    <col min="2" max="2" width="16.5546875" customWidth="1"/>
    <col min="3" max="3" width="16.77734375" customWidth="1"/>
    <col min="4" max="4" width="15" customWidth="1"/>
    <col min="5" max="5" width="15.109375" customWidth="1"/>
    <col min="16" max="16" width="13.21875" customWidth="1"/>
    <col min="17" max="17" width="13.6640625" customWidth="1"/>
    <col min="18" max="18" width="16.44140625" customWidth="1"/>
    <col min="19" max="19" width="16.21875" customWidth="1"/>
    <col min="20" max="20" width="15.44140625" customWidth="1"/>
    <col min="21" max="21" width="14.109375" customWidth="1"/>
  </cols>
  <sheetData>
    <row r="1" spans="2:5" ht="14.4" thickTop="1">
      <c r="B1" s="686" t="s">
        <v>174</v>
      </c>
      <c r="C1" s="687"/>
      <c r="D1" s="687"/>
      <c r="E1" s="688"/>
    </row>
    <row r="2" spans="2:5" ht="13.8">
      <c r="B2" s="87" t="s">
        <v>138</v>
      </c>
      <c r="C2" s="689" t="str">
        <f>Parameter!G2</f>
        <v>Ladengeschäft,  Musterstraße 123, 45678 Irgendwo</v>
      </c>
      <c r="D2" s="689"/>
      <c r="E2" s="690"/>
    </row>
    <row r="3" spans="2:5" ht="13.8">
      <c r="B3" s="87" t="s">
        <v>217</v>
      </c>
      <c r="C3" s="112"/>
      <c r="D3" s="86" t="s">
        <v>216</v>
      </c>
      <c r="E3" s="88">
        <f>Parameter!B16</f>
        <v>1148200</v>
      </c>
    </row>
    <row r="4" spans="2:5" ht="14.4" thickBot="1">
      <c r="B4" s="89" t="s">
        <v>139</v>
      </c>
      <c r="C4" s="90">
        <f>Parameter!G3</f>
        <v>144</v>
      </c>
      <c r="D4" s="91" t="s">
        <v>168</v>
      </c>
      <c r="E4" s="92">
        <f>Parameter!I3</f>
        <v>500</v>
      </c>
    </row>
    <row r="5" spans="2:5" ht="13.8" thickTop="1"/>
    <row r="36" spans="3:20">
      <c r="C36" t="s">
        <v>200</v>
      </c>
      <c r="L36" t="s">
        <v>221</v>
      </c>
    </row>
    <row r="37" spans="3:20">
      <c r="C37" t="s">
        <v>222</v>
      </c>
      <c r="L37" t="s">
        <v>320</v>
      </c>
    </row>
    <row r="38" spans="3:20" ht="13.8">
      <c r="C38" t="s">
        <v>191</v>
      </c>
      <c r="L38" t="s">
        <v>315</v>
      </c>
      <c r="S38" s="152" t="s">
        <v>52</v>
      </c>
    </row>
    <row r="39" spans="3:20" ht="14.4">
      <c r="C39" t="s">
        <v>192</v>
      </c>
      <c r="L39" t="s">
        <v>208</v>
      </c>
      <c r="R39" s="156" t="s">
        <v>48</v>
      </c>
      <c r="S39" s="153" t="s">
        <v>56</v>
      </c>
    </row>
    <row r="40" spans="3:20" ht="14.4">
      <c r="C40" t="s">
        <v>193</v>
      </c>
      <c r="L40" t="s">
        <v>205</v>
      </c>
      <c r="R40" s="157" t="s">
        <v>300</v>
      </c>
      <c r="S40" s="153" t="s">
        <v>66</v>
      </c>
    </row>
    <row r="41" spans="3:20" ht="14.4">
      <c r="L41" t="s">
        <v>206</v>
      </c>
      <c r="R41" s="157" t="s">
        <v>301</v>
      </c>
      <c r="S41" s="153" t="s">
        <v>79</v>
      </c>
      <c r="T41" s="293" t="s">
        <v>203</v>
      </c>
    </row>
    <row r="42" spans="3:20" ht="14.4">
      <c r="C42" s="111" t="s">
        <v>195</v>
      </c>
      <c r="L42" t="s">
        <v>316</v>
      </c>
      <c r="R42" s="157" t="s">
        <v>302</v>
      </c>
      <c r="S42" s="153" t="s">
        <v>91</v>
      </c>
      <c r="T42" s="294" t="s">
        <v>204</v>
      </c>
    </row>
    <row r="43" spans="3:20" ht="14.4">
      <c r="C43" t="s">
        <v>194</v>
      </c>
      <c r="L43" t="s">
        <v>210</v>
      </c>
      <c r="Q43" s="150" t="s">
        <v>296</v>
      </c>
      <c r="R43" s="158" t="s">
        <v>89</v>
      </c>
      <c r="S43" s="154" t="s">
        <v>51</v>
      </c>
      <c r="T43" s="295" t="s">
        <v>68</v>
      </c>
    </row>
    <row r="44" spans="3:20">
      <c r="C44" t="s">
        <v>202</v>
      </c>
      <c r="L44" t="s">
        <v>207</v>
      </c>
      <c r="Q44" s="128" t="s">
        <v>279</v>
      </c>
      <c r="R44" s="159">
        <f>'Cash &amp; Assets'!AN56</f>
        <v>105298.05980283392</v>
      </c>
      <c r="S44" s="155">
        <f>'Cash &amp; Assets'!AU53</f>
        <v>28511.122450458352</v>
      </c>
      <c r="T44" s="291">
        <f>'Cash &amp; Assets'!AT53</f>
        <v>169624.64027640014</v>
      </c>
    </row>
    <row r="45" spans="3:20">
      <c r="C45" t="s">
        <v>196</v>
      </c>
      <c r="L45" t="s">
        <v>311</v>
      </c>
      <c r="Q45" s="128" t="s">
        <v>280</v>
      </c>
      <c r="R45" s="159">
        <f>'Cash &amp; Assets'!AN57</f>
        <v>221239.51681026304</v>
      </c>
      <c r="S45" s="155">
        <f>'Cash &amp; Assets'!AU54</f>
        <v>176921.6528067668</v>
      </c>
      <c r="T45" s="291">
        <f>'Cash &amp; Assets'!AT54</f>
        <v>387616.36887100618</v>
      </c>
    </row>
    <row r="46" spans="3:20">
      <c r="C46" t="s">
        <v>201</v>
      </c>
      <c r="L46" t="s">
        <v>312</v>
      </c>
      <c r="Q46" s="128" t="s">
        <v>281</v>
      </c>
      <c r="R46" s="159">
        <f>'Cash &amp; Assets'!AN58</f>
        <v>354279.24043404864</v>
      </c>
      <c r="S46" s="155">
        <f>'Cash &amp; Assets'!AU55</f>
        <v>343526.53108203667</v>
      </c>
      <c r="T46" s="291">
        <f>'Cash &amp; Assets'!AT55</f>
        <v>607944.61378314858</v>
      </c>
    </row>
    <row r="47" spans="3:20">
      <c r="Q47" s="128" t="s">
        <v>282</v>
      </c>
      <c r="R47" s="159">
        <f>'Cash &amp; Assets'!AN59</f>
        <v>516289.63262168405</v>
      </c>
      <c r="S47" s="155">
        <f>'Cash &amp; Assets'!AU56</f>
        <v>540239.92544812895</v>
      </c>
      <c r="T47" s="291">
        <f>'Cash &amp; Assets'!AT56</f>
        <v>860418.85369125579</v>
      </c>
    </row>
    <row r="48" spans="3:20">
      <c r="Q48" s="128" t="s">
        <v>283</v>
      </c>
      <c r="R48" s="159">
        <f>'Cash &amp; Assets'!AN60</f>
        <v>711234.28211968695</v>
      </c>
      <c r="S48" s="155">
        <f>'Cash &amp; Assets'!AU57</f>
        <v>771068.96419572248</v>
      </c>
      <c r="T48" s="291">
        <f>'Cash &amp; Assets'!AT57</f>
        <v>1151838.4949766903</v>
      </c>
    </row>
    <row r="49" spans="17:20">
      <c r="Q49" s="146" t="s">
        <v>291</v>
      </c>
      <c r="R49" s="159">
        <f>'Cash &amp; Assets'!AN61</f>
        <v>932397.63801734883</v>
      </c>
      <c r="S49" s="155">
        <f>'Cash &amp; Assets'!AU58</f>
        <v>1029343.4907160169</v>
      </c>
      <c r="T49" s="291">
        <f>'Cash &amp; Assets'!AT58</f>
        <v>0</v>
      </c>
    </row>
    <row r="50" spans="17:20" ht="14.4">
      <c r="R50" s="156" t="s">
        <v>48</v>
      </c>
      <c r="S50" s="152" t="s">
        <v>48</v>
      </c>
      <c r="T50" s="292" t="s">
        <v>384</v>
      </c>
    </row>
    <row r="51" spans="17:20" ht="14.4">
      <c r="R51" s="158" t="s">
        <v>209</v>
      </c>
      <c r="S51" s="154" t="s">
        <v>209</v>
      </c>
    </row>
    <row r="112" spans="19:19">
      <c r="S112" s="1"/>
    </row>
    <row r="113" spans="16:20" ht="13.8" thickBot="1">
      <c r="S113" s="1"/>
    </row>
    <row r="114" spans="16:20" ht="14.4">
      <c r="P114" s="278" t="s">
        <v>391</v>
      </c>
      <c r="Q114" s="279"/>
      <c r="R114" s="274" t="s">
        <v>48</v>
      </c>
      <c r="S114" s="147" t="s">
        <v>52</v>
      </c>
      <c r="T114" s="283" t="s">
        <v>52</v>
      </c>
    </row>
    <row r="115" spans="16:20" ht="14.4">
      <c r="P115" s="280" t="s">
        <v>389</v>
      </c>
      <c r="Q115" s="286" t="s">
        <v>55</v>
      </c>
      <c r="R115" s="275" t="s">
        <v>300</v>
      </c>
      <c r="S115" s="148" t="s">
        <v>56</v>
      </c>
      <c r="T115" s="284" t="s">
        <v>65</v>
      </c>
    </row>
    <row r="116" spans="16:20" ht="14.4">
      <c r="P116" s="280" t="s">
        <v>48</v>
      </c>
      <c r="Q116" s="287" t="s">
        <v>54</v>
      </c>
      <c r="R116" s="275" t="s">
        <v>301</v>
      </c>
      <c r="S116" s="148" t="s">
        <v>66</v>
      </c>
      <c r="T116" s="284" t="s">
        <v>78</v>
      </c>
    </row>
    <row r="117" spans="16:20" ht="14.4">
      <c r="P117" s="280" t="s">
        <v>390</v>
      </c>
      <c r="Q117" s="287" t="s">
        <v>77</v>
      </c>
      <c r="R117" s="275" t="s">
        <v>302</v>
      </c>
      <c r="S117" s="148" t="s">
        <v>307</v>
      </c>
      <c r="T117" s="284" t="s">
        <v>90</v>
      </c>
    </row>
    <row r="118" spans="16:20" ht="14.4">
      <c r="P118" s="281"/>
      <c r="Q118" s="288" t="s">
        <v>89</v>
      </c>
      <c r="R118" s="275" t="s">
        <v>89</v>
      </c>
      <c r="S118" s="149" t="s">
        <v>51</v>
      </c>
      <c r="T118" s="284" t="s">
        <v>51</v>
      </c>
    </row>
    <row r="119" spans="16:20" ht="14.4">
      <c r="P119" s="128" t="s">
        <v>279</v>
      </c>
      <c r="Q119" s="289">
        <f>'Cash &amp; Assets'!AK56</f>
        <v>-80361.003913083405</v>
      </c>
      <c r="R119" s="276">
        <f>'Cash &amp; Assets'!AN56</f>
        <v>105298.05980283392</v>
      </c>
      <c r="S119" s="136">
        <f>'Cash &amp; Assets'!AU53</f>
        <v>28511.122450458352</v>
      </c>
      <c r="T119" s="285">
        <f>'Cash &amp; Assets'!AS53</f>
        <v>1071413.0626476244</v>
      </c>
    </row>
    <row r="120" spans="16:20" ht="14.4">
      <c r="P120" s="128" t="s">
        <v>280</v>
      </c>
      <c r="Q120" s="289">
        <f>'Cash &amp; Assets'!AK57</f>
        <v>-155246.78618281311</v>
      </c>
      <c r="R120" s="276">
        <f>'Cash &amp; Assets'!AN57</f>
        <v>221239.51681026304</v>
      </c>
      <c r="S120" s="136">
        <f>'Cash &amp; Assets'!AU54</f>
        <v>176921.6528067668</v>
      </c>
      <c r="T120" s="285">
        <f>'Cash &amp; Assets'!AS54</f>
        <v>1103882.1359965038</v>
      </c>
    </row>
    <row r="121" spans="16:20" ht="14.4">
      <c r="P121" s="128" t="s">
        <v>281</v>
      </c>
      <c r="Q121" s="289">
        <f>'Cash &amp; Assets'!AK58</f>
        <v>-213826.81651321129</v>
      </c>
      <c r="R121" s="276">
        <f>'Cash &amp; Assets'!AN58</f>
        <v>354279.24043404864</v>
      </c>
      <c r="S121" s="136">
        <f>'Cash &amp; Assets'!AU55</f>
        <v>343526.53108203667</v>
      </c>
      <c r="T121" s="285">
        <f>'Cash &amp; Assets'!AS55</f>
        <v>1137447.290647988</v>
      </c>
    </row>
    <row r="122" spans="16:20" ht="14.4">
      <c r="P122" s="128" t="s">
        <v>282</v>
      </c>
      <c r="Q122" s="289">
        <f>'Cash &amp; Assets'!AK59</f>
        <v>-276665.22728143987</v>
      </c>
      <c r="R122" s="276">
        <f>'Cash &amp; Assets'!AN59</f>
        <v>516289.63262168405</v>
      </c>
      <c r="S122" s="136">
        <f>'Cash &amp; Assets'!AU56</f>
        <v>540239.92544812895</v>
      </c>
      <c r="T122" s="285">
        <f>'Cash &amp; Assets'!AS56</f>
        <v>1172150.2928264448</v>
      </c>
    </row>
    <row r="123" spans="16:20" ht="14.4">
      <c r="P123" s="128" t="s">
        <v>283</v>
      </c>
      <c r="Q123" s="289">
        <f>'Cash &amp; Assets'!AK60</f>
        <v>-345560.72551044589</v>
      </c>
      <c r="R123" s="276">
        <f>'Cash &amp; Assets'!AN60</f>
        <v>711234.28211968695</v>
      </c>
      <c r="S123" s="136">
        <f>'Cash &amp; Assets'!AU57</f>
        <v>771068.96419572248</v>
      </c>
      <c r="T123" s="285">
        <f>'Cash &amp; Assets'!AS57</f>
        <v>1208034.6820760355</v>
      </c>
    </row>
    <row r="124" spans="16:20" ht="15" thickBot="1">
      <c r="P124" s="282" t="s">
        <v>291</v>
      </c>
      <c r="Q124" s="290">
        <f>'Cash &amp; Assets'!AK61</f>
        <v>-124397.36961278404</v>
      </c>
      <c r="R124" s="277">
        <f>'Cash &amp; Assets'!AN61</f>
        <v>932397.63801734883</v>
      </c>
      <c r="S124" s="136">
        <f>'Cash &amp; Assets'!AU58</f>
        <v>1029343.4907160169</v>
      </c>
      <c r="T124" s="285">
        <f>'Cash &amp; Assets'!AS58</f>
        <v>1245145.8526986679</v>
      </c>
    </row>
  </sheetData>
  <mergeCells count="2">
    <mergeCell ref="B1:E1"/>
    <mergeCell ref="C2:E2"/>
  </mergeCells>
  <dataValidations disablePrompts="1" count="1">
    <dataValidation allowBlank="1" showErrorMessage="1" sqref="B1:E4" xr:uid="{00000000-0002-0000-0400-000000000000}"/>
  </dataValidation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workbookViewId="0">
      <selection activeCell="D8" sqref="D8"/>
    </sheetView>
  </sheetViews>
  <sheetFormatPr baseColWidth="10" defaultRowHeight="13.2"/>
  <cols>
    <col min="2" max="2" width="52.44140625" style="231" customWidth="1"/>
    <col min="3" max="3" width="24.44140625" customWidth="1"/>
    <col min="4" max="4" width="18.109375" customWidth="1"/>
    <col min="5" max="5" width="75.88671875" customWidth="1"/>
  </cols>
  <sheetData>
    <row r="1" spans="1:5" ht="13.8">
      <c r="A1" s="129" t="s">
        <v>285</v>
      </c>
      <c r="B1" s="229" t="s">
        <v>286</v>
      </c>
      <c r="C1" s="130" t="s">
        <v>287</v>
      </c>
      <c r="D1" s="131" t="s">
        <v>288</v>
      </c>
      <c r="E1" s="130" t="s">
        <v>289</v>
      </c>
    </row>
    <row r="2" spans="1:5">
      <c r="A2" s="132"/>
      <c r="B2" s="230"/>
      <c r="C2" s="100"/>
      <c r="D2" s="132"/>
      <c r="E2" s="100"/>
    </row>
    <row r="3" spans="1:5">
      <c r="A3" s="132"/>
      <c r="B3" s="230"/>
      <c r="C3" s="100"/>
      <c r="D3" s="132"/>
      <c r="E3" s="100"/>
    </row>
    <row r="4" spans="1:5">
      <c r="A4" s="132"/>
      <c r="B4" s="230"/>
      <c r="C4" s="100"/>
      <c r="D4" s="132"/>
      <c r="E4" s="100"/>
    </row>
    <row r="5" spans="1:5">
      <c r="A5" s="132"/>
      <c r="B5" s="230"/>
      <c r="C5" s="100"/>
      <c r="D5" s="132"/>
      <c r="E5" s="100"/>
    </row>
    <row r="6" spans="1:5">
      <c r="A6" s="132"/>
      <c r="B6" s="230"/>
      <c r="C6" s="100"/>
      <c r="D6" s="132"/>
      <c r="E6" s="100"/>
    </row>
    <row r="7" spans="1:5">
      <c r="A7" s="132"/>
      <c r="B7" s="230"/>
      <c r="C7" s="100"/>
      <c r="D7" s="132"/>
      <c r="E7" s="100"/>
    </row>
    <row r="8" spans="1:5">
      <c r="A8" s="132"/>
      <c r="B8" s="230"/>
      <c r="C8" s="100"/>
      <c r="D8" s="132"/>
      <c r="E8" s="100"/>
    </row>
    <row r="9" spans="1:5">
      <c r="A9" s="132"/>
      <c r="B9" s="230"/>
      <c r="C9" s="100"/>
      <c r="D9" s="132"/>
      <c r="E9" s="100"/>
    </row>
    <row r="10" spans="1:5">
      <c r="A10" s="132"/>
      <c r="B10" s="230"/>
      <c r="C10" s="100"/>
      <c r="D10" s="132"/>
      <c r="E10" s="100"/>
    </row>
    <row r="11" spans="1:5">
      <c r="A11" s="132"/>
      <c r="B11" s="230"/>
      <c r="C11" s="100"/>
      <c r="D11" s="132"/>
      <c r="E11" s="100"/>
    </row>
    <row r="12" spans="1:5">
      <c r="A12" s="132"/>
      <c r="B12" s="230"/>
      <c r="C12" s="100"/>
      <c r="D12" s="132"/>
      <c r="E12" s="100"/>
    </row>
    <row r="13" spans="1:5" ht="66">
      <c r="A13" s="132" t="s">
        <v>713</v>
      </c>
      <c r="B13" s="230" t="s">
        <v>784</v>
      </c>
      <c r="C13" s="135" t="s">
        <v>290</v>
      </c>
      <c r="D13" s="133">
        <v>46002</v>
      </c>
      <c r="E13" s="135" t="s">
        <v>760</v>
      </c>
    </row>
    <row r="14" spans="1:5" ht="39.6">
      <c r="A14" s="132" t="s">
        <v>705</v>
      </c>
      <c r="B14" s="135" t="s">
        <v>706</v>
      </c>
      <c r="C14" s="135" t="s">
        <v>290</v>
      </c>
      <c r="D14" s="133">
        <v>45989</v>
      </c>
      <c r="E14" s="135" t="s">
        <v>663</v>
      </c>
    </row>
    <row r="15" spans="1:5" ht="72" customHeight="1">
      <c r="A15" s="132" t="s">
        <v>704</v>
      </c>
      <c r="B15" s="230" t="s">
        <v>662</v>
      </c>
      <c r="C15" s="135" t="s">
        <v>290</v>
      </c>
      <c r="D15" s="133">
        <v>45985</v>
      </c>
      <c r="E15" s="100" t="s">
        <v>634</v>
      </c>
    </row>
    <row r="16" spans="1:5" ht="66">
      <c r="A16" s="132" t="s">
        <v>633</v>
      </c>
      <c r="B16" s="230" t="s">
        <v>664</v>
      </c>
      <c r="C16" s="135" t="s">
        <v>290</v>
      </c>
      <c r="D16" s="133">
        <v>45982</v>
      </c>
      <c r="E16" s="135" t="s">
        <v>665</v>
      </c>
    </row>
    <row r="17" spans="1:5" ht="52.8">
      <c r="A17" s="132" t="s">
        <v>666</v>
      </c>
      <c r="B17" s="135" t="s">
        <v>667</v>
      </c>
      <c r="C17" s="135" t="s">
        <v>290</v>
      </c>
      <c r="D17" s="133">
        <v>45812</v>
      </c>
      <c r="E17" s="135" t="s">
        <v>668</v>
      </c>
    </row>
    <row r="18" spans="1:5" ht="39.6">
      <c r="A18" s="132" t="s">
        <v>669</v>
      </c>
      <c r="B18" s="230" t="s">
        <v>670</v>
      </c>
      <c r="C18" s="135" t="s">
        <v>290</v>
      </c>
      <c r="D18" s="133">
        <v>45684</v>
      </c>
      <c r="E18" s="135" t="s">
        <v>671</v>
      </c>
    </row>
    <row r="19" spans="1:5" ht="39.6">
      <c r="A19" s="132" t="s">
        <v>672</v>
      </c>
      <c r="B19" s="230" t="s">
        <v>673</v>
      </c>
      <c r="C19" s="135" t="s">
        <v>290</v>
      </c>
      <c r="D19" s="133">
        <v>45469</v>
      </c>
      <c r="E19" s="135" t="s">
        <v>674</v>
      </c>
    </row>
    <row r="20" spans="1:5" ht="52.8">
      <c r="A20" s="132" t="s">
        <v>675</v>
      </c>
      <c r="B20" s="134" t="s">
        <v>676</v>
      </c>
      <c r="C20" s="135" t="s">
        <v>290</v>
      </c>
      <c r="D20" s="133">
        <v>45417</v>
      </c>
      <c r="E20" s="135" t="s">
        <v>677</v>
      </c>
    </row>
    <row r="21" spans="1:5" ht="52.8">
      <c r="A21" s="132" t="s">
        <v>678</v>
      </c>
      <c r="B21" s="134" t="s">
        <v>679</v>
      </c>
      <c r="C21" s="135" t="s">
        <v>290</v>
      </c>
      <c r="D21" s="133">
        <v>45406</v>
      </c>
      <c r="E21" s="135" t="s">
        <v>680</v>
      </c>
    </row>
    <row r="22" spans="1:5" ht="66">
      <c r="A22" s="132" t="s">
        <v>681</v>
      </c>
      <c r="B22" s="134" t="s">
        <v>682</v>
      </c>
      <c r="C22" s="135" t="s">
        <v>290</v>
      </c>
      <c r="D22" s="133">
        <v>45396</v>
      </c>
      <c r="E22" s="135" t="s">
        <v>683</v>
      </c>
    </row>
    <row r="23" spans="1:5" ht="52.8">
      <c r="A23" s="132" t="s">
        <v>684</v>
      </c>
      <c r="B23" s="134" t="s">
        <v>685</v>
      </c>
      <c r="C23" s="135" t="s">
        <v>290</v>
      </c>
      <c r="D23" s="133">
        <v>45392</v>
      </c>
      <c r="E23" s="135" t="s">
        <v>686</v>
      </c>
    </row>
    <row r="24" spans="1:5" ht="39.6">
      <c r="A24" s="132" t="s">
        <v>687</v>
      </c>
      <c r="B24" s="134" t="s">
        <v>688</v>
      </c>
      <c r="C24" s="135" t="s">
        <v>290</v>
      </c>
      <c r="D24" s="133">
        <v>44418</v>
      </c>
      <c r="E24" s="135" t="s">
        <v>689</v>
      </c>
    </row>
    <row r="25" spans="1:5" ht="52.8">
      <c r="A25" s="133" t="s">
        <v>690</v>
      </c>
      <c r="B25" s="134" t="s">
        <v>691</v>
      </c>
      <c r="C25" s="135" t="s">
        <v>290</v>
      </c>
      <c r="D25" s="133">
        <v>44416</v>
      </c>
      <c r="E25" s="135" t="s">
        <v>692</v>
      </c>
    </row>
    <row r="26" spans="1:5" ht="52.8">
      <c r="A26" s="133" t="s">
        <v>693</v>
      </c>
      <c r="B26" s="134" t="s">
        <v>694</v>
      </c>
      <c r="C26" s="135" t="s">
        <v>290</v>
      </c>
      <c r="D26" s="133">
        <v>44375</v>
      </c>
      <c r="E26" s="135" t="s">
        <v>695</v>
      </c>
    </row>
    <row r="27" spans="1:5">
      <c r="A27" s="133" t="s">
        <v>696</v>
      </c>
      <c r="B27" s="134" t="s">
        <v>697</v>
      </c>
      <c r="C27" s="135" t="s">
        <v>290</v>
      </c>
      <c r="D27" s="563">
        <v>43273</v>
      </c>
      <c r="E27" s="135" t="s">
        <v>698</v>
      </c>
    </row>
    <row r="28" spans="1:5">
      <c r="A28" s="133" t="s">
        <v>699</v>
      </c>
      <c r="B28" s="134" t="s">
        <v>700</v>
      </c>
      <c r="C28" s="135" t="s">
        <v>290</v>
      </c>
      <c r="D28" s="563">
        <v>40465</v>
      </c>
      <c r="E28" s="135" t="s">
        <v>701</v>
      </c>
    </row>
    <row r="29" spans="1:5">
      <c r="A29" s="133" t="s">
        <v>699</v>
      </c>
      <c r="B29" s="134" t="s">
        <v>702</v>
      </c>
      <c r="C29" s="135" t="s">
        <v>290</v>
      </c>
      <c r="D29" s="563" t="s">
        <v>703</v>
      </c>
      <c r="E29" s="13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50</vt:i4>
      </vt:variant>
    </vt:vector>
  </HeadingPairs>
  <TitlesOfParts>
    <vt:vector size="57" baseType="lpstr">
      <vt:lpstr>Hinweise</vt:lpstr>
      <vt:lpstr>Parameter</vt:lpstr>
      <vt:lpstr>AfA</vt:lpstr>
      <vt:lpstr>Cash &amp; Assets</vt:lpstr>
      <vt:lpstr>Kennzahlen</vt:lpstr>
      <vt:lpstr>Graphiken</vt:lpstr>
      <vt:lpstr>ChangeLog</vt:lpstr>
      <vt:lpstr>AfA_Art</vt:lpstr>
      <vt:lpstr>AfA_Tabelle</vt:lpstr>
      <vt:lpstr>AFABasis</vt:lpstr>
      <vt:lpstr>Annuität_Förderkredit</vt:lpstr>
      <vt:lpstr>Annuität_Kredit_1_p.a.</vt:lpstr>
      <vt:lpstr>Annuität_Kredit_2_p.a.</vt:lpstr>
      <vt:lpstr>Anschlusskredit</vt:lpstr>
      <vt:lpstr>Anzahl_Tilgungszuschüsse</vt:lpstr>
      <vt:lpstr>AuszahungKredit1</vt:lpstr>
      <vt:lpstr>Baukostensteigerung_p.a</vt:lpstr>
      <vt:lpstr>BeginnFolgeKredit</vt:lpstr>
      <vt:lpstr>Deg5Lin2</vt:lpstr>
      <vt:lpstr>Deg5Lin3</vt:lpstr>
      <vt:lpstr>Disagio</vt:lpstr>
      <vt:lpstr>Disagio_in_Prozent</vt:lpstr>
      <vt:lpstr>Eigenkapital</vt:lpstr>
      <vt:lpstr>Finanzbedarf</vt:lpstr>
      <vt:lpstr>FinZeitraum</vt:lpstr>
      <vt:lpstr>FittingUp</vt:lpstr>
      <vt:lpstr>Förderkredit</vt:lpstr>
      <vt:lpstr>Förderzeit</vt:lpstr>
      <vt:lpstr>Förderzins</vt:lpstr>
      <vt:lpstr>Gebäude</vt:lpstr>
      <vt:lpstr>Grenzsteuersatz</vt:lpstr>
      <vt:lpstr>Grundbuchamt</vt:lpstr>
      <vt:lpstr>Grunderwerbsteuer</vt:lpstr>
      <vt:lpstr>Grundstück</vt:lpstr>
      <vt:lpstr>Instanhaltungskosten_am_Anfang</vt:lpstr>
      <vt:lpstr>Investment</vt:lpstr>
      <vt:lpstr>Kreditbedarf</vt:lpstr>
      <vt:lpstr>Kreditzins1</vt:lpstr>
      <vt:lpstr>Kreditzins2</vt:lpstr>
      <vt:lpstr>LaufzeitKredit1</vt:lpstr>
      <vt:lpstr>LaufzeitKredit2</vt:lpstr>
      <vt:lpstr>Lebensdauer</vt:lpstr>
      <vt:lpstr>Linear2</vt:lpstr>
      <vt:lpstr>Linear3</vt:lpstr>
      <vt:lpstr>LinearX</vt:lpstr>
      <vt:lpstr>Maklergebühren</vt:lpstr>
      <vt:lpstr>Mietpreissteigerung_p.a.</vt:lpstr>
      <vt:lpstr>Notargebühren</vt:lpstr>
      <vt:lpstr>RBWnach6Jahren</vt:lpstr>
      <vt:lpstr>Restlaufzeit</vt:lpstr>
      <vt:lpstr>Start</vt:lpstr>
      <vt:lpstr>Startjahr</vt:lpstr>
      <vt:lpstr>Tilgungszuschuss</vt:lpstr>
      <vt:lpstr>Unterhaltskosten_p.a.</vt:lpstr>
      <vt:lpstr>Unterhaltskostensteigerung</vt:lpstr>
      <vt:lpstr>Wertverlust_des_Gebäudes_p.a.</vt:lpstr>
      <vt:lpstr>Wertzuwachst_des_Grundstücks_p.a.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Modellrechnung vermietete Immobilie  V3.2</dc:title>
  <dc:subject/>
  <dc:creator/>
  <cp:keywords>Nach-Steuer-Belastung, Cash, Assets</cp:keywords>
  <dc:description/>
  <cp:lastModifiedBy/>
  <cp:revision>1</cp:revision>
  <dcterms:created xsi:type="dcterms:W3CDTF">2020-10-10T08:05:16Z</dcterms:created>
  <dcterms:modified xsi:type="dcterms:W3CDTF">2025-12-09T20:00:11Z</dcterms:modified>
  <cp:category>Immoblien</cp:category>
  <cp:contentStatus/>
</cp:coreProperties>
</file>