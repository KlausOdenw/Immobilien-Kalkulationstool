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showInkAnnotation="0"/>
  <xr:revisionPtr revIDLastSave="0" documentId="13_ncr:1_{770D063F-EFA3-40BA-B049-49079E2B0451}" xr6:coauthVersionLast="47" xr6:coauthVersionMax="47" xr10:uidLastSave="{00000000-0000-0000-0000-000000000000}"/>
  <bookViews>
    <workbookView xWindow="22932" yWindow="-108" windowWidth="38616" windowHeight="21096" tabRatio="720" activeTab="1" xr2:uid="{00000000-000D-0000-FFFF-FFFF00000000}"/>
  </bookViews>
  <sheets>
    <sheet name="Hinweise" sheetId="1" r:id="rId1"/>
    <sheet name="Parameter" sheetId="2" r:id="rId2"/>
    <sheet name="AfA" sheetId="14" r:id="rId3"/>
    <sheet name="Cash &amp; Assets" sheetId="3" r:id="rId4"/>
    <sheet name="Kennzahlen" sheetId="11" r:id="rId5"/>
    <sheet name="Graphiken" sheetId="12" r:id="rId6"/>
    <sheet name="ChangeLog" sheetId="13" r:id="rId7"/>
  </sheets>
  <definedNames>
    <definedName name="AfA_Art">Parameter!$B$19</definedName>
    <definedName name="AfA_Tabelle">AfA!$A$16:$F$46</definedName>
    <definedName name="AFABasis">Parameter!$B$20</definedName>
    <definedName name="Annuität_Förderkredit">Parameter!$I$66</definedName>
    <definedName name="Annuität_Kredit_1_p.a.">Parameter!$B$66</definedName>
    <definedName name="Annuität_Kredit_2_p.a.">Parameter!$B$75</definedName>
    <definedName name="Anschlusskredit">Parameter!$B$70</definedName>
    <definedName name="Anzahl_Tilgungszuschüsse">Parameter!$I$62</definedName>
    <definedName name="AuszahungKredit1">Parameter!$B$63</definedName>
    <definedName name="Baukostensteigerung_p.a">Parameter!$B$25</definedName>
    <definedName name="BeginnFolgeKredit">Parameter!$D$69</definedName>
    <definedName name="Deg5Lin2">AfA!$C$15</definedName>
    <definedName name="Deg5Lin3">AfA!$B$15</definedName>
    <definedName name="Disagio">Parameter!$B$62</definedName>
    <definedName name="Disagio_in_Prozent">Parameter!$B$61</definedName>
    <definedName name="Eigenkapital">Parameter!$B$51</definedName>
    <definedName name="Finanzbedarf">Parameter!$B$53</definedName>
    <definedName name="FinZeitraum">Parameter!$B$54</definedName>
    <definedName name="FittingUp">Parameter!$B$14</definedName>
    <definedName name="Förderkredit">Parameter!$I$59</definedName>
    <definedName name="Förderzeit">Parameter!$I$57</definedName>
    <definedName name="Förderzins">Parameter!$I$64</definedName>
    <definedName name="Gebäude">Parameter!$B$6</definedName>
    <definedName name="Grenzsteuersatz">Parameter!$B$47</definedName>
    <definedName name="Grundbuchamt">Parameter!$B$10</definedName>
    <definedName name="Grunderwerbsteuer">Parameter!$B$8</definedName>
    <definedName name="Grundstück">Parameter!$B$5</definedName>
    <definedName name="Instanhaltungskosten_am_Anfang">Parameter!$B$15</definedName>
    <definedName name="Investment">Parameter!$B$52</definedName>
    <definedName name="Kreditbedarf">Parameter!$B$59</definedName>
    <definedName name="Kreditzins1">Parameter!$B$64</definedName>
    <definedName name="Kreditzins2">Parameter!$B$71</definedName>
    <definedName name="LaufzeitKredit1">Parameter!$B$57</definedName>
    <definedName name="LaufzeitKredit2">Parameter!$D$69</definedName>
    <definedName name="Lebensdauer">Parameter!$B$18</definedName>
    <definedName name="Linear2">AfA!$E$15</definedName>
    <definedName name="Linear3">AfA!$D$15</definedName>
    <definedName name="LinearX">AfA!$F$15</definedName>
    <definedName name="Maklergebühren">Parameter!$B$9</definedName>
    <definedName name="Mietpreissteigerung_p.a.">Parameter!$B$44</definedName>
    <definedName name="Notargebühren">Parameter!$B$11</definedName>
    <definedName name="RBWnach6Jahren">'Cash &amp; Assets'!$AB$13</definedName>
    <definedName name="Restlaufzeit">Parameter!$B$73</definedName>
    <definedName name="Start">Parameter!$E$3</definedName>
    <definedName name="Startjahr">Parameter!$B$3</definedName>
    <definedName name="Tilgungszuschuss">Parameter!$I$61</definedName>
    <definedName name="Unterhaltskosten_p.a.">Parameter!$B$33</definedName>
    <definedName name="Unterhaltskostensteigerung">Parameter!$B$34</definedName>
    <definedName name="Verkaufsjahr">Parameter!#REF!</definedName>
    <definedName name="Wertverlust_des_Gebäudes_p.a.">Parameter!$B$23</definedName>
    <definedName name="Wertzuwachst_des_Grundstücks_p.a.">Parameter!$B$24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8" i="3" l="1"/>
  <c r="M12" i="3"/>
  <c r="M11" i="3"/>
  <c r="M10" i="3"/>
  <c r="M9" i="3"/>
  <c r="B4" i="2"/>
  <c r="B8" i="3"/>
  <c r="C3" i="11" s="1"/>
  <c r="B43" i="2"/>
  <c r="C2" i="2" l="1"/>
  <c r="F38" i="3"/>
  <c r="E38" i="3"/>
  <c r="F37" i="3"/>
  <c r="E37" i="3"/>
  <c r="F36" i="3"/>
  <c r="E36" i="3"/>
  <c r="F35" i="3"/>
  <c r="E35" i="3"/>
  <c r="F34" i="3"/>
  <c r="E34" i="3"/>
  <c r="F33" i="3"/>
  <c r="E33" i="3"/>
  <c r="E32" i="3"/>
  <c r="E31" i="3"/>
  <c r="E30" i="3"/>
  <c r="E29" i="3"/>
  <c r="E28" i="3"/>
  <c r="E27" i="3"/>
  <c r="E26" i="3"/>
  <c r="E25" i="3"/>
  <c r="E24" i="3"/>
  <c r="E23" i="3"/>
  <c r="E22" i="3"/>
  <c r="E21" i="3"/>
  <c r="E20" i="3"/>
  <c r="E19" i="3"/>
  <c r="E18" i="3"/>
  <c r="E17" i="3"/>
  <c r="E16" i="3"/>
  <c r="E15" i="3"/>
  <c r="E14" i="3"/>
  <c r="E13" i="3"/>
  <c r="E12" i="3"/>
  <c r="E11" i="3"/>
  <c r="E10" i="3"/>
  <c r="E9" i="3"/>
  <c r="E8" i="3"/>
  <c r="E7" i="3"/>
  <c r="I65" i="2" l="1"/>
  <c r="V9" i="3"/>
  <c r="I59" i="2" l="1"/>
  <c r="V8" i="3"/>
  <c r="L8" i="3" l="1"/>
  <c r="O8" i="3" s="1"/>
  <c r="L7" i="3"/>
  <c r="M16" i="3"/>
  <c r="M36" i="3"/>
  <c r="M17" i="3"/>
  <c r="M37" i="3"/>
  <c r="M18" i="3"/>
  <c r="M38" i="3"/>
  <c r="M19" i="3"/>
  <c r="M23" i="3"/>
  <c r="M24" i="3"/>
  <c r="M31" i="3"/>
  <c r="M15" i="3"/>
  <c r="M20" i="3"/>
  <c r="M21" i="3"/>
  <c r="M22" i="3"/>
  <c r="M25" i="3"/>
  <c r="M26" i="3"/>
  <c r="M27" i="3"/>
  <c r="M29" i="3"/>
  <c r="M30" i="3"/>
  <c r="M32" i="3"/>
  <c r="M13" i="3"/>
  <c r="M14" i="3"/>
  <c r="M35" i="3"/>
  <c r="M28" i="3"/>
  <c r="M33" i="3"/>
  <c r="M34" i="3"/>
  <c r="I63" i="2"/>
  <c r="B80" i="2"/>
  <c r="B81" i="2" s="1"/>
  <c r="AK6" i="3" s="1"/>
  <c r="D54" i="2"/>
  <c r="X3" i="3"/>
  <c r="F17" i="14"/>
  <c r="X9" i="3" s="1"/>
  <c r="F18" i="14"/>
  <c r="X10" i="3" s="1"/>
  <c r="F19" i="14"/>
  <c r="X11" i="3" s="1"/>
  <c r="F20" i="14"/>
  <c r="X12" i="3" s="1"/>
  <c r="F21" i="14"/>
  <c r="X13" i="3" s="1"/>
  <c r="F22" i="14"/>
  <c r="X14" i="3" s="1"/>
  <c r="F23" i="14"/>
  <c r="X15" i="3" s="1"/>
  <c r="F24" i="14"/>
  <c r="X16" i="3" s="1"/>
  <c r="F25" i="14"/>
  <c r="X17" i="3" s="1"/>
  <c r="F26" i="14"/>
  <c r="X18" i="3" s="1"/>
  <c r="F27" i="14"/>
  <c r="X19" i="3" s="1"/>
  <c r="F28" i="14"/>
  <c r="X20" i="3" s="1"/>
  <c r="F29" i="14"/>
  <c r="X21" i="3" s="1"/>
  <c r="F30" i="14"/>
  <c r="X22" i="3" s="1"/>
  <c r="F31" i="14"/>
  <c r="X23" i="3" s="1"/>
  <c r="F32" i="14"/>
  <c r="X24" i="3" s="1"/>
  <c r="F33" i="14"/>
  <c r="X25" i="3" s="1"/>
  <c r="F34" i="14"/>
  <c r="X26" i="3" s="1"/>
  <c r="F35" i="14"/>
  <c r="X27" i="3" s="1"/>
  <c r="F36" i="14"/>
  <c r="X28" i="3" s="1"/>
  <c r="F37" i="14"/>
  <c r="X29" i="3" s="1"/>
  <c r="F38" i="14"/>
  <c r="X30" i="3" s="1"/>
  <c r="F39" i="14"/>
  <c r="X31" i="3" s="1"/>
  <c r="F40" i="14"/>
  <c r="X32" i="3" s="1"/>
  <c r="F41" i="14"/>
  <c r="X33" i="3" s="1"/>
  <c r="F42" i="14"/>
  <c r="X34" i="3" s="1"/>
  <c r="F43" i="14"/>
  <c r="X35" i="3" s="1"/>
  <c r="F44" i="14"/>
  <c r="X36" i="3" s="1"/>
  <c r="F45" i="14"/>
  <c r="X37" i="3" s="1"/>
  <c r="F46" i="14"/>
  <c r="X38" i="3" s="1"/>
  <c r="F16" i="14"/>
  <c r="X8" i="3" s="1"/>
  <c r="I58" i="2" l="1"/>
  <c r="I66" i="2"/>
  <c r="P25" i="3"/>
  <c r="P26" i="3"/>
  <c r="P29" i="3"/>
  <c r="P10" i="3"/>
  <c r="P31" i="3"/>
  <c r="P32" i="3"/>
  <c r="P35" i="3"/>
  <c r="P17" i="3"/>
  <c r="P8" i="3"/>
  <c r="P24" i="3"/>
  <c r="P27" i="3"/>
  <c r="P9" i="3"/>
  <c r="P30" i="3"/>
  <c r="P12" i="3"/>
  <c r="P15" i="3"/>
  <c r="P18" i="3"/>
  <c r="P22" i="3"/>
  <c r="P28" i="3"/>
  <c r="P11" i="3"/>
  <c r="P34" i="3"/>
  <c r="P36" i="3"/>
  <c r="P38" i="3"/>
  <c r="P20" i="3"/>
  <c r="P13" i="3"/>
  <c r="P33" i="3"/>
  <c r="P14" i="3"/>
  <c r="P16" i="3"/>
  <c r="P37" i="3"/>
  <c r="P19" i="3"/>
  <c r="P21" i="3"/>
  <c r="P23" i="3"/>
  <c r="C9" i="11"/>
  <c r="B58" i="2"/>
  <c r="AM6" i="3"/>
  <c r="N25" i="3" l="1"/>
  <c r="N38" i="3"/>
  <c r="N28" i="3"/>
  <c r="N29" i="3"/>
  <c r="N30" i="3"/>
  <c r="N11" i="3"/>
  <c r="N15" i="3"/>
  <c r="N26" i="3"/>
  <c r="N10" i="3"/>
  <c r="N32" i="3"/>
  <c r="N14" i="3"/>
  <c r="N27" i="3"/>
  <c r="N9" i="3"/>
  <c r="N12" i="3"/>
  <c r="N33" i="3"/>
  <c r="N16" i="3"/>
  <c r="N36" i="3"/>
  <c r="N8" i="3"/>
  <c r="Q8" i="3" s="1"/>
  <c r="L9" i="3" s="1"/>
  <c r="N19" i="3"/>
  <c r="N21" i="3"/>
  <c r="N24" i="3"/>
  <c r="N31" i="3"/>
  <c r="N13" i="3"/>
  <c r="N17" i="3"/>
  <c r="N37" i="3"/>
  <c r="N18" i="3"/>
  <c r="N20" i="3"/>
  <c r="N22" i="3"/>
  <c r="N23" i="3"/>
  <c r="N34" i="3"/>
  <c r="N35" i="3"/>
  <c r="AK54" i="3"/>
  <c r="AM54" i="3" s="1"/>
  <c r="O9" i="3" l="1"/>
  <c r="AF24" i="11"/>
  <c r="C7" i="3" l="1"/>
  <c r="AP7" i="3"/>
  <c r="AP8" i="3" s="1"/>
  <c r="AP9" i="3" s="1"/>
  <c r="AP10" i="3" s="1"/>
  <c r="AP11" i="3" s="1"/>
  <c r="AP12" i="3" s="1"/>
  <c r="AP13" i="3" s="1"/>
  <c r="AP14" i="3" s="1"/>
  <c r="AP15" i="3" s="1"/>
  <c r="AP16" i="3" s="1"/>
  <c r="AP17" i="3" s="1"/>
  <c r="AP18" i="3" s="1"/>
  <c r="AP19" i="3" s="1"/>
  <c r="AP20" i="3" s="1"/>
  <c r="AP21" i="3" s="1"/>
  <c r="AP22" i="3" s="1"/>
  <c r="AP23" i="3" s="1"/>
  <c r="AP24" i="3" s="1"/>
  <c r="AP25" i="3" s="1"/>
  <c r="AP26" i="3" s="1"/>
  <c r="AP27" i="3" s="1"/>
  <c r="AP28" i="3" s="1"/>
  <c r="AP29" i="3" s="1"/>
  <c r="AP30" i="3" s="1"/>
  <c r="AP31" i="3" s="1"/>
  <c r="AP32" i="3" s="1"/>
  <c r="AP33" i="3" s="1"/>
  <c r="AP34" i="3" s="1"/>
  <c r="AP35" i="3" s="1"/>
  <c r="AP36" i="3" s="1"/>
  <c r="AP37" i="3" s="1"/>
  <c r="AP38" i="3" s="1"/>
  <c r="AO7" i="3"/>
  <c r="AO8" i="3" s="1"/>
  <c r="AO9" i="3" s="1"/>
  <c r="AO10" i="3" s="1"/>
  <c r="AO11" i="3" s="1"/>
  <c r="AO12" i="3" s="1"/>
  <c r="AO13" i="3" s="1"/>
  <c r="AO14" i="3" s="1"/>
  <c r="AO15" i="3" s="1"/>
  <c r="AO16" i="3" s="1"/>
  <c r="AO17" i="3" s="1"/>
  <c r="AO18" i="3" s="1"/>
  <c r="AO19" i="3" s="1"/>
  <c r="AO20" i="3" s="1"/>
  <c r="AO21" i="3" s="1"/>
  <c r="AO22" i="3" s="1"/>
  <c r="AO23" i="3" s="1"/>
  <c r="AO24" i="3" s="1"/>
  <c r="AO25" i="3" s="1"/>
  <c r="AO26" i="3" s="1"/>
  <c r="AO27" i="3" s="1"/>
  <c r="AO28" i="3" s="1"/>
  <c r="AO29" i="3" s="1"/>
  <c r="AO30" i="3" s="1"/>
  <c r="AO31" i="3" s="1"/>
  <c r="AO32" i="3" s="1"/>
  <c r="AO33" i="3" s="1"/>
  <c r="AO34" i="3" s="1"/>
  <c r="AO35" i="3" s="1"/>
  <c r="AO36" i="3" s="1"/>
  <c r="AO37" i="3" s="1"/>
  <c r="AO38" i="3" s="1"/>
  <c r="AQ8" i="3" l="1"/>
  <c r="C7" i="11" s="1"/>
  <c r="AQ7" i="3"/>
  <c r="AQ9" i="3" l="1"/>
  <c r="B72" i="2"/>
  <c r="AQ10" i="3" l="1"/>
  <c r="M30" i="11"/>
  <c r="AQ11" i="3" l="1"/>
  <c r="AD9" i="3"/>
  <c r="AD10" i="3"/>
  <c r="AD11" i="3"/>
  <c r="AD12" i="3"/>
  <c r="AD13" i="3"/>
  <c r="AD14" i="3"/>
  <c r="AD15" i="3"/>
  <c r="AD16" i="3"/>
  <c r="AD17" i="3"/>
  <c r="AD18" i="3"/>
  <c r="AD19" i="3"/>
  <c r="AD20" i="3"/>
  <c r="AD21" i="3"/>
  <c r="AD22" i="3"/>
  <c r="AD23" i="3"/>
  <c r="AD24" i="3"/>
  <c r="AD25" i="3"/>
  <c r="AD26" i="3"/>
  <c r="AD27" i="3"/>
  <c r="AD28" i="3"/>
  <c r="AD29" i="3"/>
  <c r="AD30" i="3"/>
  <c r="AD31" i="3"/>
  <c r="AD32" i="3"/>
  <c r="AD33" i="3"/>
  <c r="AD34" i="3"/>
  <c r="AD35" i="3"/>
  <c r="AD36" i="3"/>
  <c r="AD37" i="3"/>
  <c r="AD38" i="3"/>
  <c r="AD8" i="3"/>
  <c r="AQ12" i="3" l="1"/>
  <c r="AQ13" i="3" l="1"/>
  <c r="AQ14" i="3" l="1"/>
  <c r="G3" i="2"/>
  <c r="AQ15" i="3" l="1"/>
  <c r="B31" i="2"/>
  <c r="B32" i="2"/>
  <c r="AQ16" i="3" l="1"/>
  <c r="B33" i="2"/>
  <c r="E4" i="12"/>
  <c r="C2" i="12"/>
  <c r="V10" i="3" l="1"/>
  <c r="V11" i="3" s="1"/>
  <c r="V12" i="3" s="1"/>
  <c r="V13" i="3" s="1"/>
  <c r="V14" i="3" s="1"/>
  <c r="V15" i="3" s="1"/>
  <c r="V16" i="3" s="1"/>
  <c r="V17" i="3" s="1"/>
  <c r="V18" i="3" s="1"/>
  <c r="V19" i="3" s="1"/>
  <c r="V20" i="3" s="1"/>
  <c r="V21" i="3" s="1"/>
  <c r="V22" i="3" s="1"/>
  <c r="V23" i="3" s="1"/>
  <c r="V24" i="3" s="1"/>
  <c r="V25" i="3" s="1"/>
  <c r="V26" i="3" s="1"/>
  <c r="V27" i="3" s="1"/>
  <c r="V28" i="3" s="1"/>
  <c r="V29" i="3" s="1"/>
  <c r="V30" i="3" s="1"/>
  <c r="V31" i="3" s="1"/>
  <c r="V32" i="3" s="1"/>
  <c r="V33" i="3" s="1"/>
  <c r="V34" i="3" s="1"/>
  <c r="V35" i="3" s="1"/>
  <c r="V36" i="3" s="1"/>
  <c r="V37" i="3" s="1"/>
  <c r="V38" i="3" s="1"/>
  <c r="AQ17" i="3"/>
  <c r="H5" i="2"/>
  <c r="O32" i="11"/>
  <c r="M32" i="11"/>
  <c r="D1" i="11"/>
  <c r="E1" i="11" s="1"/>
  <c r="F1" i="11" s="1"/>
  <c r="G1" i="11" s="1"/>
  <c r="H1" i="11" s="1"/>
  <c r="I1" i="11" s="1"/>
  <c r="J1" i="11" s="1"/>
  <c r="K1" i="11" s="1"/>
  <c r="L1" i="11" s="1"/>
  <c r="M1" i="11" s="1"/>
  <c r="N1" i="11" s="1"/>
  <c r="AQ18" i="3" l="1"/>
  <c r="M7" i="11" s="1"/>
  <c r="C4" i="12"/>
  <c r="C37" i="2"/>
  <c r="B38" i="2"/>
  <c r="B40" i="2" s="1"/>
  <c r="B10" i="2"/>
  <c r="AQ19" i="3" l="1"/>
  <c r="B8" i="2"/>
  <c r="C9" i="2"/>
  <c r="B11" i="2"/>
  <c r="B60" i="2"/>
  <c r="B73" i="2"/>
  <c r="D69" i="2"/>
  <c r="B65" i="2"/>
  <c r="A7" i="3"/>
  <c r="B9" i="2" l="1"/>
  <c r="B13" i="2" s="1"/>
  <c r="B16" i="2" s="1"/>
  <c r="C13" i="2"/>
  <c r="C5" i="2"/>
  <c r="C6" i="2"/>
  <c r="AY7" i="3"/>
  <c r="AQ20" i="3"/>
  <c r="B74" i="2"/>
  <c r="C7" i="2"/>
  <c r="C4" i="2" l="1"/>
  <c r="B52" i="2"/>
  <c r="AS7" i="3" s="1"/>
  <c r="AW7" i="3" s="1"/>
  <c r="AX7" i="3" s="1"/>
  <c r="B20" i="2"/>
  <c r="AQ21" i="3"/>
  <c r="B9" i="3"/>
  <c r="AY8" i="3"/>
  <c r="AB7" i="3" l="1"/>
  <c r="Y8" i="3"/>
  <c r="O31" i="11"/>
  <c r="E3" i="12"/>
  <c r="AQ22" i="3"/>
  <c r="AU5" i="3"/>
  <c r="AU51" i="3"/>
  <c r="B10" i="3"/>
  <c r="AY9" i="3"/>
  <c r="B53" i="2"/>
  <c r="B59" i="2" s="1"/>
  <c r="C6" i="11"/>
  <c r="C15" i="11"/>
  <c r="D15" i="11" s="1"/>
  <c r="E15" i="11" s="1"/>
  <c r="F15" i="11" s="1"/>
  <c r="G15" i="11" s="1"/>
  <c r="H15" i="11" s="1"/>
  <c r="I15" i="11" s="1"/>
  <c r="J15" i="11" s="1"/>
  <c r="K15" i="11" s="1"/>
  <c r="L15" i="11" s="1"/>
  <c r="M15" i="11" s="1"/>
  <c r="N15" i="11" s="1"/>
  <c r="D3" i="11"/>
  <c r="E3" i="11" s="1"/>
  <c r="F3" i="11" s="1"/>
  <c r="G3" i="11" s="1"/>
  <c r="H3" i="11" s="1"/>
  <c r="I3" i="11" s="1"/>
  <c r="J3" i="11" s="1"/>
  <c r="K3" i="11" s="1"/>
  <c r="L3" i="11" s="1"/>
  <c r="M3" i="11" s="1"/>
  <c r="N3" i="11" s="1"/>
  <c r="AH7" i="3" l="1"/>
  <c r="AG7" i="3"/>
  <c r="AQ23" i="3"/>
  <c r="B11" i="3"/>
  <c r="AY10" i="3"/>
  <c r="C20" i="11"/>
  <c r="D6" i="11"/>
  <c r="B63" i="2" l="1"/>
  <c r="D7" i="3" s="1"/>
  <c r="AQ24" i="3"/>
  <c r="D7" i="11"/>
  <c r="B12" i="3"/>
  <c r="AY11" i="3"/>
  <c r="D20" i="11"/>
  <c r="E6" i="11"/>
  <c r="B66" i="2" l="1"/>
  <c r="F17" i="3" s="1"/>
  <c r="B62" i="2"/>
  <c r="D8" i="3"/>
  <c r="T7" i="3"/>
  <c r="AR7" i="3"/>
  <c r="I67" i="2"/>
  <c r="AQ25" i="3"/>
  <c r="F7" i="11"/>
  <c r="E7" i="11"/>
  <c r="B13" i="3"/>
  <c r="AY12" i="3"/>
  <c r="F6" i="11"/>
  <c r="E20" i="11"/>
  <c r="B67" i="2" l="1"/>
  <c r="F9" i="3"/>
  <c r="F8" i="3"/>
  <c r="F12" i="3"/>
  <c r="F13" i="3"/>
  <c r="F14" i="3"/>
  <c r="F10" i="3"/>
  <c r="F11" i="3"/>
  <c r="F15" i="3"/>
  <c r="F16" i="3"/>
  <c r="C8" i="11"/>
  <c r="C10" i="11" s="1"/>
  <c r="C21" i="11" s="1"/>
  <c r="G8" i="3"/>
  <c r="C26" i="11"/>
  <c r="AQ26" i="3"/>
  <c r="B14" i="3"/>
  <c r="AY13" i="3"/>
  <c r="F20" i="11"/>
  <c r="G6" i="11"/>
  <c r="I8" i="3" l="1"/>
  <c r="C25" i="11"/>
  <c r="D26" i="11"/>
  <c r="D9" i="11"/>
  <c r="AQ27" i="3"/>
  <c r="G7" i="11"/>
  <c r="B15" i="3"/>
  <c r="AY14" i="3"/>
  <c r="AQ53" i="3"/>
  <c r="T119" i="12" s="1"/>
  <c r="G20" i="11"/>
  <c r="H6" i="11"/>
  <c r="J8" i="3" l="1"/>
  <c r="D9" i="3"/>
  <c r="K8" i="3"/>
  <c r="S8" i="3"/>
  <c r="Q9" i="3"/>
  <c r="L10" i="3" s="1"/>
  <c r="AQ28" i="3"/>
  <c r="H7" i="11"/>
  <c r="B16" i="3"/>
  <c r="AY15" i="3"/>
  <c r="H20" i="11"/>
  <c r="I6" i="11"/>
  <c r="O10" i="3" l="1"/>
  <c r="E9" i="11"/>
  <c r="D8" i="11"/>
  <c r="D10" i="11" s="1"/>
  <c r="D21" i="11" s="1"/>
  <c r="G9" i="3"/>
  <c r="AQ29" i="3"/>
  <c r="I7" i="11"/>
  <c r="B17" i="3"/>
  <c r="AY16" i="3"/>
  <c r="I20" i="11"/>
  <c r="J6" i="11"/>
  <c r="D25" i="11" l="1"/>
  <c r="I9" i="3"/>
  <c r="AQ30" i="3"/>
  <c r="J7" i="11"/>
  <c r="B18" i="3"/>
  <c r="AY17" i="3"/>
  <c r="J20" i="11"/>
  <c r="K6" i="11"/>
  <c r="K9" i="3" l="1"/>
  <c r="D10" i="3"/>
  <c r="S9" i="3"/>
  <c r="J9" i="3"/>
  <c r="AQ31" i="3"/>
  <c r="K7" i="11"/>
  <c r="B19" i="3"/>
  <c r="AY18" i="3"/>
  <c r="K20" i="11"/>
  <c r="L6" i="11"/>
  <c r="E8" i="11" l="1"/>
  <c r="E10" i="11" s="1"/>
  <c r="E21" i="11" s="1"/>
  <c r="G10" i="3"/>
  <c r="AQ32" i="3"/>
  <c r="L7" i="11"/>
  <c r="B20" i="3"/>
  <c r="AY19" i="3"/>
  <c r="AQ54" i="3"/>
  <c r="T120" i="12" s="1"/>
  <c r="L20" i="11"/>
  <c r="M6" i="11"/>
  <c r="I10" i="3" l="1"/>
  <c r="AQ33" i="3"/>
  <c r="B21" i="3"/>
  <c r="AY20" i="3"/>
  <c r="N6" i="11"/>
  <c r="M20" i="11"/>
  <c r="J10" i="3" l="1"/>
  <c r="K10" i="3"/>
  <c r="D11" i="3"/>
  <c r="AQ34" i="3"/>
  <c r="N7" i="11"/>
  <c r="B22" i="3"/>
  <c r="AY21" i="3"/>
  <c r="F8" i="11" l="1"/>
  <c r="G11" i="3"/>
  <c r="AQ35" i="3"/>
  <c r="O7" i="11"/>
  <c r="B23" i="3"/>
  <c r="AY22" i="3"/>
  <c r="I11" i="3" l="1"/>
  <c r="AQ36" i="3"/>
  <c r="P7" i="11"/>
  <c r="B24" i="3"/>
  <c r="AY23" i="3"/>
  <c r="D12" i="3" l="1"/>
  <c r="G8" i="11" s="1"/>
  <c r="J11" i="3"/>
  <c r="K11" i="3"/>
  <c r="AQ38" i="3"/>
  <c r="AQ37" i="3"/>
  <c r="Q7" i="11"/>
  <c r="B25" i="3"/>
  <c r="AY24" i="3"/>
  <c r="AQ55" i="3"/>
  <c r="T121" i="12" s="1"/>
  <c r="R7" i="11" l="1"/>
  <c r="B26" i="3"/>
  <c r="AY25" i="3"/>
  <c r="S7" i="11" l="1"/>
  <c r="B27" i="3"/>
  <c r="AY26" i="3"/>
  <c r="T7" i="11" l="1"/>
  <c r="B28" i="3"/>
  <c r="AY27" i="3"/>
  <c r="U7" i="11" l="1"/>
  <c r="B29" i="3"/>
  <c r="AY28" i="3"/>
  <c r="V7" i="11" l="1"/>
  <c r="B30" i="3"/>
  <c r="AY29" i="3"/>
  <c r="AQ56" i="3"/>
  <c r="T122" i="12" s="1"/>
  <c r="W7" i="11" l="1"/>
  <c r="B31" i="3"/>
  <c r="AY30" i="3"/>
  <c r="X7" i="11" l="1"/>
  <c r="B32" i="3"/>
  <c r="AY31" i="3"/>
  <c r="Y7" i="11" l="1"/>
  <c r="B33" i="3"/>
  <c r="AY32" i="3"/>
  <c r="Z7" i="11" l="1"/>
  <c r="B34" i="3"/>
  <c r="AY33" i="3"/>
  <c r="AA7" i="11" l="1"/>
  <c r="B35" i="3"/>
  <c r="AY34" i="3"/>
  <c r="AQ57" i="3"/>
  <c r="T123" i="12" s="1"/>
  <c r="AB7" i="11" l="1"/>
  <c r="B36" i="3"/>
  <c r="AY35" i="3"/>
  <c r="AC7" i="11" l="1"/>
  <c r="B37" i="3"/>
  <c r="AY36" i="3"/>
  <c r="AD7" i="11" l="1"/>
  <c r="B38" i="3"/>
  <c r="AY38" i="3" s="1"/>
  <c r="AY37" i="3"/>
  <c r="AE7" i="11" l="1"/>
  <c r="AF7" i="11" l="1"/>
  <c r="AQ58" i="3"/>
  <c r="T124" i="12" s="1"/>
  <c r="C33" i="2" l="1"/>
  <c r="B41" i="2"/>
  <c r="W8" i="3" l="1"/>
  <c r="B42" i="2"/>
  <c r="C42" i="2" s="1"/>
  <c r="W9" i="3" l="1"/>
  <c r="C4" i="11"/>
  <c r="W10" i="3" l="1"/>
  <c r="D4" i="11"/>
  <c r="W11" i="3" l="1"/>
  <c r="E4" i="11"/>
  <c r="W12" i="3" l="1"/>
  <c r="F4" i="11"/>
  <c r="G4" i="11" l="1"/>
  <c r="W13" i="3"/>
  <c r="W14" i="3" l="1"/>
  <c r="H4" i="11"/>
  <c r="I4" i="11" l="1"/>
  <c r="W15" i="3"/>
  <c r="W16" i="3" l="1"/>
  <c r="J4" i="11"/>
  <c r="K4" i="11" l="1"/>
  <c r="W17" i="3"/>
  <c r="W18" i="3" l="1"/>
  <c r="W19" i="3" s="1"/>
  <c r="N4" i="11" s="1"/>
  <c r="L4" i="11"/>
  <c r="W20" i="3" l="1"/>
  <c r="O4" i="11" s="1"/>
  <c r="M4" i="11"/>
  <c r="W21" i="3" l="1"/>
  <c r="W22" i="3" s="1"/>
  <c r="P4" i="11" l="1"/>
  <c r="W23" i="3"/>
  <c r="Q4" i="11"/>
  <c r="R4" i="11" l="1"/>
  <c r="W24" i="3"/>
  <c r="W25" i="3" l="1"/>
  <c r="S4" i="11"/>
  <c r="T4" i="11" l="1"/>
  <c r="W26" i="3"/>
  <c r="U4" i="11" l="1"/>
  <c r="W27" i="3"/>
  <c r="V4" i="11" l="1"/>
  <c r="W28" i="3"/>
  <c r="W4" i="11" l="1"/>
  <c r="W29" i="3"/>
  <c r="W30" i="3" l="1"/>
  <c r="X4" i="11"/>
  <c r="W31" i="3" l="1"/>
  <c r="Y4" i="11"/>
  <c r="Z4" i="11" l="1"/>
  <c r="W32" i="3"/>
  <c r="AA4" i="11" l="1"/>
  <c r="W33" i="3"/>
  <c r="W34" i="3" l="1"/>
  <c r="AB4" i="11"/>
  <c r="AC4" i="11" l="1"/>
  <c r="W35" i="3"/>
  <c r="W36" i="3" l="1"/>
  <c r="AD4" i="11"/>
  <c r="AE4" i="11" l="1"/>
  <c r="W37" i="3"/>
  <c r="AF4" i="11" l="1"/>
  <c r="W38" i="3"/>
  <c r="AV7" i="3" l="1"/>
  <c r="AU7" i="3"/>
  <c r="N20" i="11"/>
  <c r="O6" i="11"/>
  <c r="O20" i="11" s="1"/>
  <c r="O15" i="11"/>
  <c r="P15" i="11" s="1"/>
  <c r="Q15" i="11" s="1"/>
  <c r="R15" i="11" s="1"/>
  <c r="S15" i="11" s="1"/>
  <c r="T15" i="11" s="1"/>
  <c r="U15" i="11" s="1"/>
  <c r="V15" i="11" s="1"/>
  <c r="W15" i="11" s="1"/>
  <c r="X15" i="11" s="1"/>
  <c r="Y15" i="11" s="1"/>
  <c r="Z15" i="11" s="1"/>
  <c r="AA15" i="11" s="1"/>
  <c r="AB15" i="11" s="1"/>
  <c r="AC15" i="11" s="1"/>
  <c r="AD15" i="11" s="1"/>
  <c r="AE15" i="11" s="1"/>
  <c r="AF15" i="11" s="1"/>
  <c r="O1" i="11"/>
  <c r="P1" i="11" s="1"/>
  <c r="Q1" i="11" s="1"/>
  <c r="R1" i="11" s="1"/>
  <c r="S1" i="11" s="1"/>
  <c r="T1" i="11" s="1"/>
  <c r="U1" i="11" s="1"/>
  <c r="V1" i="11" s="1"/>
  <c r="W1" i="11" s="1"/>
  <c r="X1" i="11" s="1"/>
  <c r="Y1" i="11" s="1"/>
  <c r="Z1" i="11" s="1"/>
  <c r="AA1" i="11" s="1"/>
  <c r="AB1" i="11" s="1"/>
  <c r="AC1" i="11" s="1"/>
  <c r="AD1" i="11" s="1"/>
  <c r="AE1" i="11" s="1"/>
  <c r="AF1" i="11" s="1"/>
  <c r="O3" i="11"/>
  <c r="P3" i="11" s="1"/>
  <c r="Q3" i="11" s="1"/>
  <c r="R3" i="11" s="1"/>
  <c r="S3" i="11" s="1"/>
  <c r="T3" i="11" s="1"/>
  <c r="U3" i="11" s="1"/>
  <c r="V3" i="11" s="1"/>
  <c r="W3" i="11" s="1"/>
  <c r="X3" i="11" s="1"/>
  <c r="Y3" i="11" s="1"/>
  <c r="Z3" i="11" s="1"/>
  <c r="AA3" i="11" s="1"/>
  <c r="AB3" i="11" s="1"/>
  <c r="AC3" i="11" s="1"/>
  <c r="AD3" i="11" s="1"/>
  <c r="AE3" i="11" s="1"/>
  <c r="AF3" i="11" s="1"/>
  <c r="P6" i="11" l="1"/>
  <c r="Q6" i="11" s="1"/>
  <c r="R6" i="11" s="1"/>
  <c r="P20" i="11" l="1"/>
  <c r="Q20" i="11"/>
  <c r="S6" i="11"/>
  <c r="R20" i="11"/>
  <c r="S20" i="11" l="1"/>
  <c r="T6" i="11"/>
  <c r="T20" i="11" l="1"/>
  <c r="U6" i="11"/>
  <c r="U20" i="11" l="1"/>
  <c r="V6" i="11"/>
  <c r="V20" i="11" l="1"/>
  <c r="W6" i="11"/>
  <c r="W20" i="11" l="1"/>
  <c r="X6" i="11"/>
  <c r="Y6" i="11" l="1"/>
  <c r="X20" i="11"/>
  <c r="Y20" i="11" l="1"/>
  <c r="Z6" i="11"/>
  <c r="AA6" i="11" l="1"/>
  <c r="Z20" i="11"/>
  <c r="AB6" i="11" l="1"/>
  <c r="AA20" i="11"/>
  <c r="AC6" i="11" l="1"/>
  <c r="AB20" i="11"/>
  <c r="AC20" i="11" l="1"/>
  <c r="AD6" i="11"/>
  <c r="AE6" i="11" l="1"/>
  <c r="AD20" i="11"/>
  <c r="AE20" i="11" l="1"/>
  <c r="AF6" i="11"/>
  <c r="AF20" i="11" s="1"/>
  <c r="AA8" i="3" l="1"/>
  <c r="AC8" i="3" s="1"/>
  <c r="AB8" i="3" l="1"/>
  <c r="Y9" i="3"/>
  <c r="AA9" i="3" l="1"/>
  <c r="AC9" i="3" s="1"/>
  <c r="AB9" i="3" l="1"/>
  <c r="Y10" i="3" s="1"/>
  <c r="AA10" i="3" l="1"/>
  <c r="AB10" i="3" l="1"/>
  <c r="Y11" i="3"/>
  <c r="AA11" i="3" l="1"/>
  <c r="AB11" i="3" l="1"/>
  <c r="Y12" i="3"/>
  <c r="AA12" i="3" l="1"/>
  <c r="AB12" i="3" l="1"/>
  <c r="Y13" i="3" s="1"/>
  <c r="AA13" i="3" l="1"/>
  <c r="AB13" i="3" l="1"/>
  <c r="Y19" i="3" l="1"/>
  <c r="Y27" i="3"/>
  <c r="Y35" i="3"/>
  <c r="AA35" i="3" s="1"/>
  <c r="Y34" i="3"/>
  <c r="Y20" i="3"/>
  <c r="Y28" i="3"/>
  <c r="Y36" i="3"/>
  <c r="Y21" i="3"/>
  <c r="Y29" i="3"/>
  <c r="Y37" i="3"/>
  <c r="Y22" i="3"/>
  <c r="Y30" i="3"/>
  <c r="Y38" i="3"/>
  <c r="Y14" i="3"/>
  <c r="AA14" i="3" s="1"/>
  <c r="Y15" i="3"/>
  <c r="Y23" i="3"/>
  <c r="Y31" i="3"/>
  <c r="Y16" i="3"/>
  <c r="Y24" i="3"/>
  <c r="Y32" i="3"/>
  <c r="Y26" i="3"/>
  <c r="Y17" i="3"/>
  <c r="Y25" i="3"/>
  <c r="Y33" i="3"/>
  <c r="Y18" i="3"/>
  <c r="AB14" i="3" l="1"/>
  <c r="AA15" i="3"/>
  <c r="AB15" i="3" l="1"/>
  <c r="AA16" i="3" l="1"/>
  <c r="AB16" i="3" l="1"/>
  <c r="AA17" i="3" l="1"/>
  <c r="AB17" i="3" l="1"/>
  <c r="AA18" i="3" l="1"/>
  <c r="AB18" i="3" l="1"/>
  <c r="AA19" i="3" l="1"/>
  <c r="AB19" i="3" l="1"/>
  <c r="AA20" i="3" l="1"/>
  <c r="AB20" i="3" l="1"/>
  <c r="AA21" i="3" l="1"/>
  <c r="AB21" i="3" l="1"/>
  <c r="AA22" i="3" l="1"/>
  <c r="AB22" i="3" l="1"/>
  <c r="AA23" i="3" l="1"/>
  <c r="AB23" i="3" l="1"/>
  <c r="AA24" i="3" l="1"/>
  <c r="AB24" i="3" l="1"/>
  <c r="AA25" i="3" l="1"/>
  <c r="AB25" i="3" l="1"/>
  <c r="AA26" i="3" l="1"/>
  <c r="AB26" i="3" l="1"/>
  <c r="AA27" i="3" l="1"/>
  <c r="AB27" i="3" l="1"/>
  <c r="AA28" i="3" l="1"/>
  <c r="AB28" i="3" l="1"/>
  <c r="AA29" i="3" l="1"/>
  <c r="AB29" i="3" l="1"/>
  <c r="AA30" i="3" l="1"/>
  <c r="AB30" i="3" l="1"/>
  <c r="AA31" i="3" l="1"/>
  <c r="AB31" i="3" l="1"/>
  <c r="AA32" i="3" l="1"/>
  <c r="AB32" i="3" l="1"/>
  <c r="AA33" i="3" l="1"/>
  <c r="AB33" i="3" l="1"/>
  <c r="AA34" i="3" l="1"/>
  <c r="AB34" i="3" l="1"/>
  <c r="AB35" i="3" s="1"/>
  <c r="AA36" i="3" l="1"/>
  <c r="AB36" i="3" l="1"/>
  <c r="AA37" i="3" l="1"/>
  <c r="AB37" i="3" l="1"/>
  <c r="AA38" i="3" l="1"/>
  <c r="AB38" i="3" l="1"/>
  <c r="E25" i="11"/>
  <c r="Q10" i="3" l="1"/>
  <c r="L11" i="3" s="1"/>
  <c r="E26" i="11"/>
  <c r="S10" i="3" l="1"/>
  <c r="O11" i="3"/>
  <c r="F9" i="11"/>
  <c r="F10" i="11" s="1"/>
  <c r="F21" i="11" s="1"/>
  <c r="G12" i="3"/>
  <c r="F26" i="11" l="1"/>
  <c r="F25" i="11"/>
  <c r="I12" i="3"/>
  <c r="D13" i="3" s="1"/>
  <c r="H8" i="11" s="1"/>
  <c r="Q11" i="3" l="1"/>
  <c r="L12" i="3" s="1"/>
  <c r="J12" i="3"/>
  <c r="K12" i="3"/>
  <c r="S11" i="3" l="1"/>
  <c r="O12" i="3"/>
  <c r="G9" i="11"/>
  <c r="G10" i="11" s="1"/>
  <c r="G21" i="11" s="1"/>
  <c r="G25" i="11"/>
  <c r="G13" i="3"/>
  <c r="AC12" i="3" l="1"/>
  <c r="G26" i="11"/>
  <c r="I13" i="3"/>
  <c r="J13" i="3" s="1"/>
  <c r="D14" i="3" l="1"/>
  <c r="I8" i="11" s="1"/>
  <c r="K13" i="3"/>
  <c r="Q12" i="3"/>
  <c r="L13" i="3" s="1"/>
  <c r="G14" i="3"/>
  <c r="S12" i="3" l="1"/>
  <c r="I14" i="3"/>
  <c r="K14" i="3" s="1"/>
  <c r="D15" i="3"/>
  <c r="J8" i="11" s="1"/>
  <c r="J14" i="3"/>
  <c r="O13" i="3" l="1"/>
  <c r="H25" i="11" s="1"/>
  <c r="H9" i="11"/>
  <c r="H10" i="11" s="1"/>
  <c r="H21" i="11" s="1"/>
  <c r="H26" i="11"/>
  <c r="Q13" i="3" l="1"/>
  <c r="L14" i="3" s="1"/>
  <c r="I9" i="11" s="1"/>
  <c r="I10" i="11" s="1"/>
  <c r="I21" i="11" s="1"/>
  <c r="O14" i="3"/>
  <c r="G15" i="3"/>
  <c r="S13" i="3" l="1"/>
  <c r="I15" i="3"/>
  <c r="I25" i="11"/>
  <c r="K15" i="3"/>
  <c r="D16" i="3"/>
  <c r="K8" i="11" s="1"/>
  <c r="J15" i="3"/>
  <c r="I26" i="11" l="1"/>
  <c r="Q14" i="3"/>
  <c r="L15" i="3" s="1"/>
  <c r="S14" i="3" l="1"/>
  <c r="J9" i="11"/>
  <c r="J10" i="11" s="1"/>
  <c r="J21" i="11" s="1"/>
  <c r="O15" i="3"/>
  <c r="G16" i="3"/>
  <c r="I16" i="3" l="1"/>
  <c r="J25" i="11"/>
  <c r="K16" i="3"/>
  <c r="D17" i="3"/>
  <c r="L8" i="11" s="1"/>
  <c r="J16" i="3"/>
  <c r="J26" i="11" l="1"/>
  <c r="Q15" i="3"/>
  <c r="L16" i="3" s="1"/>
  <c r="S15" i="3" l="1"/>
  <c r="K9" i="11"/>
  <c r="K10" i="11" s="1"/>
  <c r="K21" i="11" s="1"/>
  <c r="O16" i="3"/>
  <c r="G17" i="3"/>
  <c r="AF8" i="3"/>
  <c r="K25" i="11" l="1"/>
  <c r="I17" i="3"/>
  <c r="K17" i="3" s="1"/>
  <c r="D18" i="3"/>
  <c r="M8" i="11" s="1"/>
  <c r="J17" i="3"/>
  <c r="K26" i="11" l="1"/>
  <c r="Q16" i="3"/>
  <c r="L17" i="3" s="1"/>
  <c r="C11" i="11"/>
  <c r="AR8" i="3"/>
  <c r="AG8" i="3"/>
  <c r="AH8" i="3" s="1"/>
  <c r="R8" i="3"/>
  <c r="S16" i="3" l="1"/>
  <c r="L9" i="11"/>
  <c r="L10" i="11" s="1"/>
  <c r="L21" i="11" s="1"/>
  <c r="T8" i="3"/>
  <c r="B55" i="2" s="1"/>
  <c r="C22" i="11"/>
  <c r="C23" i="11" s="1"/>
  <c r="R9" i="3"/>
  <c r="O17" i="3"/>
  <c r="AK8" i="3"/>
  <c r="AM8" i="3" s="1"/>
  <c r="AI8" i="3"/>
  <c r="C16" i="11"/>
  <c r="L26" i="11" l="1"/>
  <c r="L25" i="11"/>
  <c r="T9" i="3"/>
  <c r="D22" i="11"/>
  <c r="D23" i="11" s="1"/>
  <c r="Q17" i="3"/>
  <c r="L18" i="3" s="1"/>
  <c r="G18" i="3"/>
  <c r="C17" i="11"/>
  <c r="AL8" i="3"/>
  <c r="AF9" i="3"/>
  <c r="S17" i="3" l="1"/>
  <c r="M9" i="11"/>
  <c r="M10" i="11" s="1"/>
  <c r="M21" i="11" s="1"/>
  <c r="AR9" i="3"/>
  <c r="AS8" i="3"/>
  <c r="C13" i="11"/>
  <c r="AG9" i="3"/>
  <c r="AH9" i="3" s="1"/>
  <c r="C24" i="11"/>
  <c r="D11" i="11"/>
  <c r="AW8" i="3" l="1"/>
  <c r="AX8" i="3" s="1"/>
  <c r="AU8" i="3"/>
  <c r="AV8" i="3" s="1"/>
  <c r="C12" i="11"/>
  <c r="C18" i="11" s="1"/>
  <c r="AI9" i="3"/>
  <c r="AK9" i="3"/>
  <c r="D16" i="11"/>
  <c r="AM9" i="3" l="1"/>
  <c r="D17" i="11"/>
  <c r="AL9" i="3"/>
  <c r="D13" i="11" l="1"/>
  <c r="AS9" i="3"/>
  <c r="D12" i="11" l="1"/>
  <c r="D18" i="11" s="1"/>
  <c r="AU9" i="3"/>
  <c r="AV9" i="3" s="1"/>
  <c r="AW9" i="3"/>
  <c r="AX9" i="3" s="1"/>
  <c r="AC10" i="3"/>
  <c r="AF10" i="3" s="1"/>
  <c r="R10" i="3"/>
  <c r="T10" i="3" l="1"/>
  <c r="E22" i="11"/>
  <c r="E23" i="11" s="1"/>
  <c r="AG10" i="3"/>
  <c r="AH10" i="3" s="1"/>
  <c r="AK10" i="3" s="1"/>
  <c r="AM10" i="3" s="1"/>
  <c r="E11" i="11"/>
  <c r="D24" i="11"/>
  <c r="AR10" i="3"/>
  <c r="E16" i="11" l="1"/>
  <c r="AI10" i="3"/>
  <c r="E17" i="11" s="1"/>
  <c r="AL10" i="3" l="1"/>
  <c r="E13" i="11" s="1"/>
  <c r="AS10" i="3" l="1"/>
  <c r="E12" i="11" s="1"/>
  <c r="E18" i="11" s="1"/>
  <c r="AC11" i="3"/>
  <c r="AF11" i="3" s="1"/>
  <c r="AU10" i="3" l="1"/>
  <c r="AV10" i="3" s="1"/>
  <c r="AW10" i="3"/>
  <c r="AX10" i="3" s="1"/>
  <c r="AR11" i="3"/>
  <c r="AF12" i="3"/>
  <c r="E24" i="11"/>
  <c r="R11" i="3"/>
  <c r="AG11" i="3"/>
  <c r="AH11" i="3" s="1"/>
  <c r="F11" i="11"/>
  <c r="T11" i="3" l="1"/>
  <c r="F22" i="11"/>
  <c r="F23" i="11" s="1"/>
  <c r="AG12" i="3"/>
  <c r="AH12" i="3" s="1"/>
  <c r="G16" i="11" s="1"/>
  <c r="AR12" i="3"/>
  <c r="AR53" i="3" s="1"/>
  <c r="T44" i="12" s="1"/>
  <c r="G11" i="11"/>
  <c r="F24" i="11"/>
  <c r="R12" i="3"/>
  <c r="AI11" i="3"/>
  <c r="AK11" i="3"/>
  <c r="F16" i="11"/>
  <c r="T12" i="3" l="1"/>
  <c r="G22" i="11"/>
  <c r="G23" i="11" s="1"/>
  <c r="AK12" i="3"/>
  <c r="AM11" i="3"/>
  <c r="AL11" i="3"/>
  <c r="F17" i="11"/>
  <c r="AI12" i="3"/>
  <c r="AC13" i="3"/>
  <c r="AF13" i="3" s="1"/>
  <c r="AI56" i="3" l="1"/>
  <c r="Q119" i="12" s="1"/>
  <c r="AL12" i="3"/>
  <c r="G17" i="11"/>
  <c r="F13" i="11"/>
  <c r="AS11" i="3"/>
  <c r="AM12" i="3"/>
  <c r="AM56" i="3" s="1"/>
  <c r="AK56" i="3"/>
  <c r="R13" i="3" l="1"/>
  <c r="AG13" i="3"/>
  <c r="AH13" i="3" s="1"/>
  <c r="AL56" i="3"/>
  <c r="G13" i="11"/>
  <c r="AS12" i="3"/>
  <c r="G24" i="11"/>
  <c r="AR13" i="3"/>
  <c r="H11" i="11"/>
  <c r="AU11" i="3"/>
  <c r="AV11" i="3" s="1"/>
  <c r="F12" i="11"/>
  <c r="F18" i="11" s="1"/>
  <c r="AW11" i="3"/>
  <c r="AX11" i="3" s="1"/>
  <c r="T13" i="3" l="1"/>
  <c r="H22" i="11"/>
  <c r="H23" i="11" s="1"/>
  <c r="AC14" i="3"/>
  <c r="AF14" i="3" s="1"/>
  <c r="R119" i="12"/>
  <c r="R44" i="12"/>
  <c r="AU12" i="3"/>
  <c r="AS53" i="3"/>
  <c r="AW12" i="3"/>
  <c r="AX12" i="3" s="1"/>
  <c r="AX53" i="3" s="1"/>
  <c r="G12" i="11"/>
  <c r="G18" i="11" s="1"/>
  <c r="AI13" i="3"/>
  <c r="H16" i="11"/>
  <c r="AK13" i="3"/>
  <c r="AM13" i="3" l="1"/>
  <c r="H17" i="11"/>
  <c r="AL13" i="3"/>
  <c r="S44" i="12"/>
  <c r="S119" i="12"/>
  <c r="AU53" i="3"/>
  <c r="AV12" i="3"/>
  <c r="AV53" i="3" s="1"/>
  <c r="H24" i="11" l="1"/>
  <c r="AR14" i="3"/>
  <c r="I11" i="11"/>
  <c r="R14" i="3"/>
  <c r="AG14" i="3"/>
  <c r="AH14" i="3" s="1"/>
  <c r="H13" i="11"/>
  <c r="AS13" i="3"/>
  <c r="T14" i="3" l="1"/>
  <c r="I22" i="11"/>
  <c r="I23" i="11" s="1"/>
  <c r="AU13" i="3"/>
  <c r="AV13" i="3" s="1"/>
  <c r="H12" i="11"/>
  <c r="H18" i="11" s="1"/>
  <c r="AW13" i="3"/>
  <c r="AX13" i="3" s="1"/>
  <c r="I16" i="11"/>
  <c r="AI14" i="3"/>
  <c r="AK14" i="3"/>
  <c r="AC15" i="3"/>
  <c r="AF15" i="3" s="1"/>
  <c r="AL14" i="3" l="1"/>
  <c r="I17" i="11"/>
  <c r="AM14" i="3"/>
  <c r="AR15" i="3" l="1"/>
  <c r="J11" i="11"/>
  <c r="I24" i="11"/>
  <c r="I13" i="11"/>
  <c r="AS14" i="3"/>
  <c r="R15" i="3"/>
  <c r="AG15" i="3"/>
  <c r="AH15" i="3" s="1"/>
  <c r="T15" i="3" l="1"/>
  <c r="J22" i="11"/>
  <c r="J23" i="11" s="1"/>
  <c r="J16" i="11"/>
  <c r="AI15" i="3"/>
  <c r="AK15" i="3"/>
  <c r="AU14" i="3"/>
  <c r="AV14" i="3" s="1"/>
  <c r="I12" i="11"/>
  <c r="I18" i="11" s="1"/>
  <c r="AW14" i="3"/>
  <c r="AX14" i="3" s="1"/>
  <c r="AC16" i="3"/>
  <c r="AF16" i="3" s="1"/>
  <c r="AM15" i="3" l="1"/>
  <c r="J17" i="11"/>
  <c r="AL15" i="3"/>
  <c r="J13" i="11" l="1"/>
  <c r="AS15" i="3"/>
  <c r="J24" i="11"/>
  <c r="K11" i="11"/>
  <c r="AR16" i="3"/>
  <c r="R16" i="3"/>
  <c r="AG16" i="3"/>
  <c r="AH16" i="3" s="1"/>
  <c r="T16" i="3" l="1"/>
  <c r="K22" i="11"/>
  <c r="K23" i="11" s="1"/>
  <c r="AI16" i="3"/>
  <c r="K16" i="11"/>
  <c r="AK16" i="3"/>
  <c r="J12" i="11"/>
  <c r="J18" i="11" s="1"/>
  <c r="AU15" i="3"/>
  <c r="AV15" i="3" s="1"/>
  <c r="AW15" i="3"/>
  <c r="AX15" i="3" s="1"/>
  <c r="AC17" i="3"/>
  <c r="AF17" i="3" s="1"/>
  <c r="AM16" i="3" l="1"/>
  <c r="AL16" i="3"/>
  <c r="K17" i="11"/>
  <c r="AS16" i="3" l="1"/>
  <c r="K13" i="11"/>
  <c r="L11" i="11"/>
  <c r="K24" i="11"/>
  <c r="AR17" i="3"/>
  <c r="AR54" i="3" s="1"/>
  <c r="T45" i="12" s="1"/>
  <c r="R17" i="3"/>
  <c r="AG17" i="3"/>
  <c r="AH17" i="3" s="1"/>
  <c r="T17" i="3" l="1"/>
  <c r="L22" i="11"/>
  <c r="L23" i="11" s="1"/>
  <c r="L16" i="11"/>
  <c r="AI17" i="3"/>
  <c r="AK17" i="3"/>
  <c r="AW16" i="3"/>
  <c r="AX16" i="3" s="1"/>
  <c r="AU16" i="3"/>
  <c r="AV16" i="3" s="1"/>
  <c r="K12" i="11"/>
  <c r="K18" i="11" s="1"/>
  <c r="AM17" i="3" l="1"/>
  <c r="AM57" i="3" s="1"/>
  <c r="AK57" i="3"/>
  <c r="AI57" i="3"/>
  <c r="Q120" i="12" s="1"/>
  <c r="L17" i="11"/>
  <c r="AL17" i="3"/>
  <c r="AL57" i="3" l="1"/>
  <c r="L13" i="11"/>
  <c r="AS17" i="3"/>
  <c r="L12" i="11" l="1"/>
  <c r="L18" i="11" s="1"/>
  <c r="AS54" i="3"/>
  <c r="AW17" i="3"/>
  <c r="AX17" i="3" s="1"/>
  <c r="AX54" i="3" s="1"/>
  <c r="AU17" i="3"/>
  <c r="R45" i="12"/>
  <c r="R120" i="12"/>
  <c r="AV17" i="3" l="1"/>
  <c r="AV54" i="3" s="1"/>
  <c r="AU54" i="3"/>
  <c r="S45" i="12"/>
  <c r="S120" i="12"/>
  <c r="M11" i="11"/>
  <c r="L24" i="11"/>
  <c r="AR18" i="3"/>
  <c r="B70" i="2"/>
  <c r="B75" i="2" s="1"/>
  <c r="F21" i="3" l="1"/>
  <c r="F30" i="3"/>
  <c r="F20" i="3"/>
  <c r="F29" i="3"/>
  <c r="F19" i="3"/>
  <c r="F28" i="3"/>
  <c r="F18" i="3"/>
  <c r="F32" i="3"/>
  <c r="F22" i="3"/>
  <c r="F31" i="3"/>
  <c r="F26" i="3"/>
  <c r="F25" i="3"/>
  <c r="F24" i="3"/>
  <c r="F23" i="3"/>
  <c r="F27" i="3"/>
  <c r="B76" i="2"/>
  <c r="I18" i="3" l="1"/>
  <c r="K18" i="3" l="1"/>
  <c r="D19" i="3"/>
  <c r="N8" i="11" s="1"/>
  <c r="J18" i="3"/>
  <c r="O18" i="3" l="1"/>
  <c r="Q18" i="3" l="1"/>
  <c r="L19" i="3" s="1"/>
  <c r="M26" i="11"/>
  <c r="AC18" i="3"/>
  <c r="AF18" i="3" s="1"/>
  <c r="M25" i="11"/>
  <c r="AG18" i="3"/>
  <c r="R18" i="3"/>
  <c r="G19" i="3"/>
  <c r="AR19" i="3"/>
  <c r="S18" i="3" l="1"/>
  <c r="T18" i="3" s="1"/>
  <c r="N9" i="11"/>
  <c r="N10" i="11" s="1"/>
  <c r="M22" i="11"/>
  <c r="M23" i="11" s="1"/>
  <c r="AH18" i="3"/>
  <c r="M16" i="11" s="1"/>
  <c r="I19" i="3"/>
  <c r="N21" i="11" l="1"/>
  <c r="M24" i="11" s="1"/>
  <c r="N11" i="11"/>
  <c r="AI18" i="3"/>
  <c r="AL18" i="3" s="1"/>
  <c r="AK18" i="3"/>
  <c r="AM18" i="3" s="1"/>
  <c r="K19" i="3"/>
  <c r="D20" i="3"/>
  <c r="O8" i="11" s="1"/>
  <c r="M17" i="11"/>
  <c r="J19" i="3"/>
  <c r="M13" i="11" l="1"/>
  <c r="AS18" i="3"/>
  <c r="AW18" i="3" l="1"/>
  <c r="AX18" i="3" s="1"/>
  <c r="M12" i="11"/>
  <c r="M18" i="11" s="1"/>
  <c r="AU18" i="3"/>
  <c r="AV18" i="3" s="1"/>
  <c r="O19" i="3"/>
  <c r="N25" i="11" l="1"/>
  <c r="G20" i="3"/>
  <c r="AR20" i="3"/>
  <c r="AC19" i="3"/>
  <c r="AF19" i="3" s="1"/>
  <c r="Q19" i="3" l="1"/>
  <c r="L20" i="3" s="1"/>
  <c r="N26" i="11"/>
  <c r="I20" i="3"/>
  <c r="S19" i="3" l="1"/>
  <c r="O9" i="11"/>
  <c r="O10" i="11" s="1"/>
  <c r="O21" i="11" s="1"/>
  <c r="N24" i="11" s="1"/>
  <c r="R19" i="3"/>
  <c r="AG19" i="3"/>
  <c r="AH19" i="3" s="1"/>
  <c r="N16" i="11" s="1"/>
  <c r="T19" i="3"/>
  <c r="N22" i="11"/>
  <c r="N23" i="11" s="1"/>
  <c r="K20" i="3"/>
  <c r="D21" i="3"/>
  <c r="P8" i="11" s="1"/>
  <c r="J20" i="3"/>
  <c r="O11" i="11" l="1"/>
  <c r="AK19" i="3"/>
  <c r="AM19" i="3" s="1"/>
  <c r="AI19" i="3"/>
  <c r="AL19" i="3" s="1"/>
  <c r="N17" i="11" l="1"/>
  <c r="AS19" i="3"/>
  <c r="N13" i="11"/>
  <c r="O20" i="3" l="1"/>
  <c r="AU19" i="3"/>
  <c r="AV19" i="3" s="1"/>
  <c r="N12" i="11"/>
  <c r="AW19" i="3"/>
  <c r="AX19" i="3" s="1"/>
  <c r="O26" i="11" l="1"/>
  <c r="AC20" i="3"/>
  <c r="AF20" i="3" s="1"/>
  <c r="O25" i="11"/>
  <c r="Q20" i="3"/>
  <c r="L21" i="3" s="1"/>
  <c r="N18" i="11"/>
  <c r="G21" i="3"/>
  <c r="AR21" i="3"/>
  <c r="S20" i="3" l="1"/>
  <c r="T20" i="3" s="1"/>
  <c r="P9" i="11"/>
  <c r="P10" i="11" s="1"/>
  <c r="R20" i="3"/>
  <c r="AG20" i="3"/>
  <c r="AH20" i="3" s="1"/>
  <c r="AK20" i="3" s="1"/>
  <c r="O22" i="11"/>
  <c r="O23" i="11" s="1"/>
  <c r="I21" i="3"/>
  <c r="P21" i="11" l="1"/>
  <c r="O24" i="11" s="1"/>
  <c r="P11" i="11"/>
  <c r="AI20" i="3"/>
  <c r="O17" i="11" s="1"/>
  <c r="O16" i="11"/>
  <c r="K21" i="3"/>
  <c r="D22" i="3"/>
  <c r="Q8" i="11" s="1"/>
  <c r="AM20" i="3"/>
  <c r="J21" i="3"/>
  <c r="AL20" i="3" l="1"/>
  <c r="AS20" i="3" s="1"/>
  <c r="O13" i="11"/>
  <c r="AU20" i="3" l="1"/>
  <c r="AV20" i="3" s="1"/>
  <c r="AW20" i="3"/>
  <c r="AX20" i="3" s="1"/>
  <c r="O12" i="11"/>
  <c r="O18" i="11" s="1"/>
  <c r="O21" i="3" l="1"/>
  <c r="P25" i="11" l="1"/>
  <c r="G22" i="3"/>
  <c r="AR22" i="3"/>
  <c r="AR55" i="3" s="1"/>
  <c r="T46" i="12" s="1"/>
  <c r="AC21" i="3"/>
  <c r="AF21" i="3" s="1"/>
  <c r="Q21" i="3" l="1"/>
  <c r="L22" i="3" s="1"/>
  <c r="P26" i="11"/>
  <c r="I22" i="3"/>
  <c r="S21" i="3" l="1"/>
  <c r="Q9" i="11"/>
  <c r="Q10" i="11" s="1"/>
  <c r="Q21" i="11" s="1"/>
  <c r="P24" i="11" s="1"/>
  <c r="AG21" i="3"/>
  <c r="AH21" i="3" s="1"/>
  <c r="P16" i="11" s="1"/>
  <c r="Q11" i="11"/>
  <c r="R21" i="3"/>
  <c r="T21" i="3"/>
  <c r="P22" i="11"/>
  <c r="P23" i="11" s="1"/>
  <c r="K22" i="3"/>
  <c r="D23" i="3"/>
  <c r="R8" i="11" s="1"/>
  <c r="J22" i="3"/>
  <c r="AK21" i="3" l="1"/>
  <c r="AM21" i="3" s="1"/>
  <c r="AI21" i="3"/>
  <c r="P17" i="11" s="1"/>
  <c r="AL21" i="3" l="1"/>
  <c r="P13" i="11" s="1"/>
  <c r="O22" i="3"/>
  <c r="AS21" i="3" l="1"/>
  <c r="P12" i="11" s="1"/>
  <c r="P18" i="11" s="1"/>
  <c r="AC22" i="3"/>
  <c r="AF22" i="3" s="1"/>
  <c r="Q25" i="11"/>
  <c r="Q22" i="3"/>
  <c r="L23" i="3" s="1"/>
  <c r="Q26" i="11"/>
  <c r="G23" i="3"/>
  <c r="AR23" i="3"/>
  <c r="AW21" i="3" l="1"/>
  <c r="AX21" i="3" s="1"/>
  <c r="AU21" i="3"/>
  <c r="AV21" i="3" s="1"/>
  <c r="S22" i="3"/>
  <c r="R9" i="11"/>
  <c r="R10" i="11" s="1"/>
  <c r="R21" i="11" s="1"/>
  <c r="Q24" i="11" s="1"/>
  <c r="R22" i="3"/>
  <c r="AG22" i="3"/>
  <c r="AH22" i="3" s="1"/>
  <c r="Q16" i="11" s="1"/>
  <c r="T22" i="3"/>
  <c r="Q22" i="11"/>
  <c r="Q23" i="11" s="1"/>
  <c r="I23" i="3"/>
  <c r="R11" i="11" l="1"/>
  <c r="AK22" i="3"/>
  <c r="AI22" i="3"/>
  <c r="AI58" i="3" s="1"/>
  <c r="Q121" i="12" s="1"/>
  <c r="K23" i="3"/>
  <c r="D24" i="3"/>
  <c r="S8" i="11" s="1"/>
  <c r="AK58" i="3"/>
  <c r="AM22" i="3"/>
  <c r="AM58" i="3" s="1"/>
  <c r="J23" i="3"/>
  <c r="Q17" i="11" l="1"/>
  <c r="AL22" i="3"/>
  <c r="Q13" i="11" s="1"/>
  <c r="AS22" i="3" l="1"/>
  <c r="AS55" i="3" s="1"/>
  <c r="AL58" i="3"/>
  <c r="R46" i="12" s="1"/>
  <c r="O23" i="3"/>
  <c r="R25" i="11" l="1"/>
  <c r="AU22" i="3"/>
  <c r="AV22" i="3" s="1"/>
  <c r="AV55" i="3" s="1"/>
  <c r="AW22" i="3"/>
  <c r="AX22" i="3" s="1"/>
  <c r="AX55" i="3" s="1"/>
  <c r="Q12" i="11"/>
  <c r="Q18" i="11" s="1"/>
  <c r="R121" i="12"/>
  <c r="S121" i="12"/>
  <c r="S46" i="12"/>
  <c r="G24" i="3"/>
  <c r="AR24" i="3"/>
  <c r="AC23" i="3"/>
  <c r="AF23" i="3" s="1"/>
  <c r="AU55" i="3" l="1"/>
  <c r="R26" i="11"/>
  <c r="Q23" i="3"/>
  <c r="L24" i="3" s="1"/>
  <c r="I24" i="3"/>
  <c r="S23" i="3" l="1"/>
  <c r="T23" i="3" s="1"/>
  <c r="S9" i="11"/>
  <c r="S10" i="11" s="1"/>
  <c r="R23" i="3"/>
  <c r="AG23" i="3"/>
  <c r="AH23" i="3" s="1"/>
  <c r="AI23" i="3" s="1"/>
  <c r="K24" i="3"/>
  <c r="D25" i="3"/>
  <c r="T8" i="11" s="1"/>
  <c r="J24" i="3"/>
  <c r="R22" i="11" l="1"/>
  <c r="R23" i="11" s="1"/>
  <c r="R16" i="11"/>
  <c r="S21" i="11"/>
  <c r="R24" i="11" s="1"/>
  <c r="S11" i="11"/>
  <c r="AK23" i="3"/>
  <c r="AM23" i="3" s="1"/>
  <c r="AL23" i="3"/>
  <c r="R17" i="11"/>
  <c r="AS23" i="3" l="1"/>
  <c r="R13" i="11"/>
  <c r="O24" i="3"/>
  <c r="S25" i="11" l="1"/>
  <c r="AC24" i="3"/>
  <c r="AF24" i="3" s="1"/>
  <c r="G25" i="3"/>
  <c r="AR25" i="3"/>
  <c r="R12" i="11"/>
  <c r="R18" i="11" s="1"/>
  <c r="AW23" i="3"/>
  <c r="AX23" i="3" s="1"/>
  <c r="AU23" i="3"/>
  <c r="AV23" i="3" s="1"/>
  <c r="S26" i="11" l="1"/>
  <c r="Q24" i="3"/>
  <c r="L25" i="3" s="1"/>
  <c r="I25" i="3"/>
  <c r="S24" i="3" l="1"/>
  <c r="T9" i="11"/>
  <c r="T10" i="11" s="1"/>
  <c r="R24" i="3"/>
  <c r="T24" i="3"/>
  <c r="S22" i="11"/>
  <c r="S23" i="11" s="1"/>
  <c r="K25" i="3"/>
  <c r="D26" i="3"/>
  <c r="U8" i="11" s="1"/>
  <c r="AG24" i="3"/>
  <c r="AH24" i="3" s="1"/>
  <c r="AI24" i="3" s="1"/>
  <c r="J25" i="3"/>
  <c r="T21" i="11" l="1"/>
  <c r="S24" i="11" s="1"/>
  <c r="T11" i="11"/>
  <c r="S16" i="11"/>
  <c r="AK24" i="3"/>
  <c r="AM24" i="3" s="1"/>
  <c r="S17" i="11"/>
  <c r="AL24" i="3"/>
  <c r="AS24" i="3" l="1"/>
  <c r="S13" i="11"/>
  <c r="O25" i="3" l="1"/>
  <c r="AW24" i="3"/>
  <c r="AX24" i="3" s="1"/>
  <c r="S12" i="11"/>
  <c r="S18" i="11" s="1"/>
  <c r="AU24" i="3"/>
  <c r="AV24" i="3" s="1"/>
  <c r="T25" i="11" l="1"/>
  <c r="G26" i="3"/>
  <c r="AR26" i="3"/>
  <c r="AC25" i="3"/>
  <c r="AF25" i="3" s="1"/>
  <c r="T26" i="11" l="1"/>
  <c r="Q25" i="3"/>
  <c r="L26" i="3" s="1"/>
  <c r="I26" i="3"/>
  <c r="S25" i="3" l="1"/>
  <c r="U9" i="11"/>
  <c r="U10" i="11" s="1"/>
  <c r="R25" i="3"/>
  <c r="AG25" i="3"/>
  <c r="AH25" i="3" s="1"/>
  <c r="T16" i="11" s="1"/>
  <c r="T25" i="3"/>
  <c r="T22" i="11"/>
  <c r="T23" i="11" s="1"/>
  <c r="K26" i="3"/>
  <c r="D27" i="3"/>
  <c r="V8" i="11" s="1"/>
  <c r="J26" i="3"/>
  <c r="AK25" i="3" l="1"/>
  <c r="AI25" i="3"/>
  <c r="T17" i="11" s="1"/>
  <c r="U21" i="11"/>
  <c r="T24" i="11" s="1"/>
  <c r="U11" i="11"/>
  <c r="AM25" i="3"/>
  <c r="AL25" i="3" l="1"/>
  <c r="AS25" i="3"/>
  <c r="T13" i="11"/>
  <c r="O26" i="3" l="1"/>
  <c r="AU25" i="3"/>
  <c r="AV25" i="3" s="1"/>
  <c r="T12" i="11"/>
  <c r="T18" i="11" s="1"/>
  <c r="AW25" i="3"/>
  <c r="AX25" i="3" s="1"/>
  <c r="AC26" i="3" l="1"/>
  <c r="AF26" i="3" s="1"/>
  <c r="U25" i="11"/>
  <c r="G27" i="3"/>
  <c r="AR27" i="3"/>
  <c r="AR56" i="3" s="1"/>
  <c r="T47" i="12" s="1"/>
  <c r="U26" i="11" l="1"/>
  <c r="Q26" i="3"/>
  <c r="L27" i="3" s="1"/>
  <c r="I27" i="3"/>
  <c r="S26" i="3" l="1"/>
  <c r="R26" i="3"/>
  <c r="V9" i="11"/>
  <c r="V10" i="11" s="1"/>
  <c r="T26" i="3"/>
  <c r="U22" i="11"/>
  <c r="U23" i="11" s="1"/>
  <c r="K27" i="3"/>
  <c r="D28" i="3"/>
  <c r="W8" i="11" s="1"/>
  <c r="AG26" i="3"/>
  <c r="AH26" i="3" s="1"/>
  <c r="U16" i="11" s="1"/>
  <c r="J27" i="3"/>
  <c r="V21" i="11" l="1"/>
  <c r="U24" i="11" s="1"/>
  <c r="V11" i="11"/>
  <c r="AK26" i="3"/>
  <c r="AM26" i="3" s="1"/>
  <c r="AI26" i="3"/>
  <c r="U17" i="11" s="1"/>
  <c r="AL26" i="3" l="1"/>
  <c r="U13" i="11" s="1"/>
  <c r="O27" i="3"/>
  <c r="V25" i="11" l="1"/>
  <c r="AS26" i="3"/>
  <c r="AW26" i="3" s="1"/>
  <c r="AX26" i="3" s="1"/>
  <c r="G28" i="3"/>
  <c r="AR28" i="3"/>
  <c r="AC27" i="3"/>
  <c r="AF27" i="3" s="1"/>
  <c r="AU26" i="3" l="1"/>
  <c r="AV26" i="3" s="1"/>
  <c r="U12" i="11"/>
  <c r="U18" i="11" s="1"/>
  <c r="V26" i="11"/>
  <c r="Q27" i="3"/>
  <c r="L28" i="3" s="1"/>
  <c r="I28" i="3"/>
  <c r="S27" i="3" l="1"/>
  <c r="R27" i="3"/>
  <c r="W9" i="11"/>
  <c r="W10" i="11" s="1"/>
  <c r="AG27" i="3"/>
  <c r="AH27" i="3" s="1"/>
  <c r="AI27" i="3" s="1"/>
  <c r="T27" i="3"/>
  <c r="V22" i="11"/>
  <c r="V23" i="11" s="1"/>
  <c r="K28" i="3"/>
  <c r="D29" i="3"/>
  <c r="X8" i="11" s="1"/>
  <c r="J28" i="3"/>
  <c r="V16" i="11" l="1"/>
  <c r="AK27" i="3"/>
  <c r="AK59" i="3" s="1"/>
  <c r="W21" i="11"/>
  <c r="V24" i="11" s="1"/>
  <c r="W11" i="11"/>
  <c r="V17" i="11"/>
  <c r="AI59" i="3"/>
  <c r="Q122" i="12" s="1"/>
  <c r="AL27" i="3"/>
  <c r="AM27" i="3" l="1"/>
  <c r="AM59" i="3" s="1"/>
  <c r="V13" i="11"/>
  <c r="AL59" i="3"/>
  <c r="AS27" i="3"/>
  <c r="R47" i="12" l="1"/>
  <c r="R122" i="12"/>
  <c r="O28" i="3"/>
  <c r="AS56" i="3"/>
  <c r="AW27" i="3"/>
  <c r="AX27" i="3" s="1"/>
  <c r="AX56" i="3" s="1"/>
  <c r="AU27" i="3"/>
  <c r="V12" i="11"/>
  <c r="V18" i="11" s="1"/>
  <c r="W25" i="11" l="1"/>
  <c r="S47" i="12"/>
  <c r="S122" i="12"/>
  <c r="G29" i="3"/>
  <c r="AR29" i="3"/>
  <c r="AV27" i="3"/>
  <c r="AV56" i="3" s="1"/>
  <c r="AU56" i="3"/>
  <c r="AC28" i="3"/>
  <c r="AF28" i="3" s="1"/>
  <c r="W26" i="11" l="1"/>
  <c r="Q28" i="3"/>
  <c r="L29" i="3" s="1"/>
  <c r="I29" i="3"/>
  <c r="S28" i="3" l="1"/>
  <c r="R28" i="3"/>
  <c r="X9" i="11"/>
  <c r="X10" i="11" s="1"/>
  <c r="AG28" i="3"/>
  <c r="AH28" i="3" s="1"/>
  <c r="W16" i="11" s="1"/>
  <c r="T28" i="3"/>
  <c r="W22" i="11"/>
  <c r="W23" i="11" s="1"/>
  <c r="K29" i="3"/>
  <c r="D30" i="3"/>
  <c r="Y8" i="11" s="1"/>
  <c r="J29" i="3"/>
  <c r="AK28" i="3" l="1"/>
  <c r="AI28" i="3"/>
  <c r="W17" i="11" s="1"/>
  <c r="X21" i="11"/>
  <c r="W24" i="11" s="1"/>
  <c r="X11" i="11"/>
  <c r="AM28" i="3"/>
  <c r="AL28" i="3" l="1"/>
  <c r="AS28" i="3"/>
  <c r="W13" i="11"/>
  <c r="O29" i="3" l="1"/>
  <c r="W12" i="11"/>
  <c r="W18" i="11" s="1"/>
  <c r="AU28" i="3"/>
  <c r="AV28" i="3" s="1"/>
  <c r="AW28" i="3"/>
  <c r="AX28" i="3" s="1"/>
  <c r="X25" i="11" l="1"/>
  <c r="AC29" i="3"/>
  <c r="AF29" i="3" s="1"/>
  <c r="G30" i="3"/>
  <c r="AR30" i="3"/>
  <c r="Q29" i="3" l="1"/>
  <c r="L30" i="3" s="1"/>
  <c r="X26" i="11"/>
  <c r="I30" i="3"/>
  <c r="S29" i="3" l="1"/>
  <c r="Y9" i="11"/>
  <c r="Y10" i="11" s="1"/>
  <c r="Y21" i="11" s="1"/>
  <c r="X24" i="11" s="1"/>
  <c r="R29" i="3"/>
  <c r="AG29" i="3"/>
  <c r="AH29" i="3" s="1"/>
  <c r="X16" i="11" s="1"/>
  <c r="T29" i="3"/>
  <c r="X22" i="11"/>
  <c r="X23" i="11" s="1"/>
  <c r="K30" i="3"/>
  <c r="D31" i="3"/>
  <c r="Z8" i="11" s="1"/>
  <c r="J30" i="3"/>
  <c r="Y11" i="11" l="1"/>
  <c r="AI29" i="3"/>
  <c r="X17" i="11" s="1"/>
  <c r="AK29" i="3"/>
  <c r="AM29" i="3" s="1"/>
  <c r="AL29" i="3" l="1"/>
  <c r="AS29" i="3" s="1"/>
  <c r="O30" i="3"/>
  <c r="X13" i="11" l="1"/>
  <c r="Y26" i="11"/>
  <c r="AC30" i="3"/>
  <c r="AF30" i="3" s="1"/>
  <c r="Y25" i="11"/>
  <c r="Q30" i="3"/>
  <c r="L31" i="3" s="1"/>
  <c r="G31" i="3"/>
  <c r="AR31" i="3"/>
  <c r="X12" i="11"/>
  <c r="X18" i="11" s="1"/>
  <c r="AW29" i="3"/>
  <c r="AX29" i="3" s="1"/>
  <c r="AU29" i="3"/>
  <c r="AV29" i="3" s="1"/>
  <c r="S30" i="3" l="1"/>
  <c r="Z9" i="11"/>
  <c r="Z10" i="11" s="1"/>
  <c r="R30" i="3"/>
  <c r="AG30" i="3"/>
  <c r="AH30" i="3" s="1"/>
  <c r="AI30" i="3" s="1"/>
  <c r="T30" i="3"/>
  <c r="Y22" i="11"/>
  <c r="Y23" i="11" s="1"/>
  <c r="I31" i="3"/>
  <c r="Y16" i="11" l="1"/>
  <c r="AK30" i="3"/>
  <c r="AM30" i="3" s="1"/>
  <c r="Z21" i="11"/>
  <c r="Y24" i="11" s="1"/>
  <c r="Z11" i="11"/>
  <c r="K31" i="3"/>
  <c r="D32" i="3"/>
  <c r="AA8" i="11" s="1"/>
  <c r="Y17" i="11"/>
  <c r="AL30" i="3"/>
  <c r="J31" i="3"/>
  <c r="AS30" i="3" l="1"/>
  <c r="Y13" i="11"/>
  <c r="O31" i="3" l="1"/>
  <c r="Y12" i="11"/>
  <c r="Y18" i="11" s="1"/>
  <c r="AU30" i="3"/>
  <c r="AV30" i="3" s="1"/>
  <c r="AW30" i="3"/>
  <c r="AX30" i="3" s="1"/>
  <c r="Z25" i="11" l="1"/>
  <c r="AC31" i="3"/>
  <c r="AF31" i="3" s="1"/>
  <c r="G32" i="3"/>
  <c r="AR32" i="3"/>
  <c r="AR57" i="3" s="1"/>
  <c r="T48" i="12" s="1"/>
  <c r="Q31" i="3" l="1"/>
  <c r="L32" i="3" s="1"/>
  <c r="Z26" i="11"/>
  <c r="I32" i="3"/>
  <c r="S31" i="3" l="1"/>
  <c r="AA9" i="11"/>
  <c r="AA10" i="11" s="1"/>
  <c r="R31" i="3"/>
  <c r="AG31" i="3"/>
  <c r="AH31" i="3" s="1"/>
  <c r="Z16" i="11" s="1"/>
  <c r="AA21" i="11"/>
  <c r="Z24" i="11" s="1"/>
  <c r="AA11" i="11"/>
  <c r="T31" i="3"/>
  <c r="Z22" i="11"/>
  <c r="Z23" i="11" s="1"/>
  <c r="K32" i="3"/>
  <c r="D33" i="3"/>
  <c r="AB8" i="11" s="1"/>
  <c r="J32" i="3"/>
  <c r="AK31" i="3" l="1"/>
  <c r="AM31" i="3" s="1"/>
  <c r="AI31" i="3"/>
  <c r="Z17" i="11" s="1"/>
  <c r="AL31" i="3" l="1"/>
  <c r="Z13" i="11" s="1"/>
  <c r="O32" i="3"/>
  <c r="K33" i="3"/>
  <c r="AS31" i="3" l="1"/>
  <c r="AU31" i="3" s="1"/>
  <c r="AV31" i="3" s="1"/>
  <c r="AC32" i="3"/>
  <c r="AF32" i="3" s="1"/>
  <c r="AA25" i="11"/>
  <c r="G33" i="3"/>
  <c r="AR33" i="3"/>
  <c r="Z12" i="11" l="1"/>
  <c r="Z18" i="11" s="1"/>
  <c r="AW31" i="3"/>
  <c r="AX31" i="3" s="1"/>
  <c r="Q32" i="3"/>
  <c r="L33" i="3" s="1"/>
  <c r="AA26" i="11"/>
  <c r="I33" i="3"/>
  <c r="D34" i="3" s="1"/>
  <c r="AC8" i="11" s="1"/>
  <c r="S32" i="3" l="1"/>
  <c r="AB9" i="11"/>
  <c r="AB10" i="11" s="1"/>
  <c r="AB21" i="11" s="1"/>
  <c r="AA24" i="11" s="1"/>
  <c r="R32" i="3"/>
  <c r="AG32" i="3"/>
  <c r="AH32" i="3" s="1"/>
  <c r="T32" i="3"/>
  <c r="AA22" i="11"/>
  <c r="AA23" i="11" s="1"/>
  <c r="J33" i="3"/>
  <c r="AA16" i="11"/>
  <c r="AI32" i="3"/>
  <c r="AK32" i="3"/>
  <c r="AB11" i="11" l="1"/>
  <c r="AM32" i="3"/>
  <c r="AM60" i="3" s="1"/>
  <c r="AK60" i="3"/>
  <c r="AA17" i="11"/>
  <c r="AI60" i="3"/>
  <c r="Q123" i="12" s="1"/>
  <c r="AL32" i="3"/>
  <c r="AL60" i="3" l="1"/>
  <c r="AS32" i="3"/>
  <c r="AA13" i="11"/>
  <c r="O33" i="3"/>
  <c r="K34" i="3"/>
  <c r="AC33" i="3" l="1"/>
  <c r="AF33" i="3" s="1"/>
  <c r="AB25" i="11"/>
  <c r="G34" i="3"/>
  <c r="AR34" i="3"/>
  <c r="AU32" i="3"/>
  <c r="AV32" i="3" s="1"/>
  <c r="AW32" i="3"/>
  <c r="AX32" i="3" s="1"/>
  <c r="AX57" i="3" s="1"/>
  <c r="AS57" i="3"/>
  <c r="AA12" i="11"/>
  <c r="AA18" i="11" s="1"/>
  <c r="R123" i="12"/>
  <c r="R48" i="12"/>
  <c r="Q33" i="3" l="1"/>
  <c r="L34" i="3" s="1"/>
  <c r="AB26" i="11"/>
  <c r="S123" i="12"/>
  <c r="S48" i="12"/>
  <c r="AV57" i="3"/>
  <c r="AU57" i="3"/>
  <c r="I34" i="3"/>
  <c r="D35" i="3" s="1"/>
  <c r="AD8" i="11" s="1"/>
  <c r="S33" i="3" l="1"/>
  <c r="R33" i="3"/>
  <c r="AG33" i="3"/>
  <c r="AH33" i="3" s="1"/>
  <c r="J34" i="3"/>
  <c r="AC9" i="11" l="1"/>
  <c r="AC10" i="11" s="1"/>
  <c r="AK33" i="3"/>
  <c r="AM33" i="3" s="1"/>
  <c r="AB16" i="11"/>
  <c r="AI33" i="3"/>
  <c r="AB22" i="11"/>
  <c r="AB23" i="11" s="1"/>
  <c r="T33" i="3"/>
  <c r="AC11" i="11" l="1"/>
  <c r="AC21" i="11"/>
  <c r="AB24" i="11" s="1"/>
  <c r="AL33" i="3"/>
  <c r="AB17" i="11"/>
  <c r="O34" i="3"/>
  <c r="K35" i="3"/>
  <c r="AC34" i="3" l="1"/>
  <c r="AF34" i="3" s="1"/>
  <c r="AC25" i="11"/>
  <c r="AB13" i="11"/>
  <c r="AS33" i="3"/>
  <c r="G35" i="3"/>
  <c r="AR35" i="3"/>
  <c r="Q34" i="3" l="1"/>
  <c r="L35" i="3" s="1"/>
  <c r="AC26" i="11"/>
  <c r="AW33" i="3"/>
  <c r="AX33" i="3" s="1"/>
  <c r="AB12" i="11"/>
  <c r="AB18" i="11" s="1"/>
  <c r="AU33" i="3"/>
  <c r="AV33" i="3" s="1"/>
  <c r="I35" i="3"/>
  <c r="D36" i="3" s="1"/>
  <c r="AE8" i="11" s="1"/>
  <c r="S34" i="3" l="1"/>
  <c r="R34" i="3"/>
  <c r="AG34" i="3"/>
  <c r="AH34" i="3" s="1"/>
  <c r="J35" i="3"/>
  <c r="AD9" i="11" l="1"/>
  <c r="AD10" i="11" s="1"/>
  <c r="AC16" i="11"/>
  <c r="AI34" i="3"/>
  <c r="AK34" i="3"/>
  <c r="AM34" i="3" s="1"/>
  <c r="T34" i="3"/>
  <c r="AC22" i="11"/>
  <c r="AC23" i="11" s="1"/>
  <c r="O35" i="3"/>
  <c r="AD25" i="11" s="1"/>
  <c r="K36" i="3"/>
  <c r="AD21" i="11" l="1"/>
  <c r="AC24" i="11" s="1"/>
  <c r="AD11" i="11"/>
  <c r="AL34" i="3"/>
  <c r="AC17" i="11"/>
  <c r="G36" i="3"/>
  <c r="AR36" i="3"/>
  <c r="AC35" i="3"/>
  <c r="AF35" i="3" s="1"/>
  <c r="Q35" i="3" l="1"/>
  <c r="L36" i="3" s="1"/>
  <c r="AD26" i="11"/>
  <c r="AS34" i="3"/>
  <c r="AC13" i="11"/>
  <c r="I36" i="3"/>
  <c r="D37" i="3" s="1"/>
  <c r="AF8" i="11" s="1"/>
  <c r="S35" i="3" l="1"/>
  <c r="AD22" i="11" s="1"/>
  <c r="AD23" i="11" s="1"/>
  <c r="AE9" i="11"/>
  <c r="AE10" i="11" s="1"/>
  <c r="AE21" i="11" s="1"/>
  <c r="AD24" i="11" s="1"/>
  <c r="R35" i="3"/>
  <c r="AG35" i="3"/>
  <c r="AH35" i="3" s="1"/>
  <c r="AD16" i="11" s="1"/>
  <c r="AU34" i="3"/>
  <c r="AV34" i="3" s="1"/>
  <c r="AC12" i="11"/>
  <c r="AC18" i="11" s="1"/>
  <c r="AW34" i="3"/>
  <c r="AX34" i="3" s="1"/>
  <c r="J36" i="3"/>
  <c r="T35" i="3" l="1"/>
  <c r="AE11" i="11"/>
  <c r="AK35" i="3"/>
  <c r="AM35" i="3" s="1"/>
  <c r="AI35" i="3"/>
  <c r="AD17" i="11" s="1"/>
  <c r="AL35" i="3" l="1"/>
  <c r="AD13" i="11"/>
  <c r="AS35" i="3"/>
  <c r="O36" i="3"/>
  <c r="K37" i="3"/>
  <c r="AC36" i="3" l="1"/>
  <c r="AF36" i="3" s="1"/>
  <c r="AE25" i="11"/>
  <c r="G37" i="3"/>
  <c r="AR37" i="3"/>
  <c r="AR58" i="3" s="1"/>
  <c r="T49" i="12" s="1"/>
  <c r="AU35" i="3"/>
  <c r="AV35" i="3" s="1"/>
  <c r="AW35" i="3"/>
  <c r="AX35" i="3" s="1"/>
  <c r="AD12" i="11"/>
  <c r="AD18" i="11" s="1"/>
  <c r="Q36" i="3" l="1"/>
  <c r="L37" i="3" s="1"/>
  <c r="AE26" i="11"/>
  <c r="I37" i="3"/>
  <c r="D38" i="3" s="1"/>
  <c r="AF9" i="11" l="1"/>
  <c r="AF10" i="11" s="1"/>
  <c r="S36" i="3"/>
  <c r="R36" i="3"/>
  <c r="AG36" i="3"/>
  <c r="AH36" i="3" s="1"/>
  <c r="J37" i="3"/>
  <c r="AF11" i="11" l="1"/>
  <c r="AF21" i="11"/>
  <c r="AE24" i="11" s="1"/>
  <c r="AE16" i="11"/>
  <c r="AK36" i="3"/>
  <c r="AM36" i="3" s="1"/>
  <c r="AI36" i="3"/>
  <c r="T36" i="3"/>
  <c r="AE22" i="11"/>
  <c r="AE23" i="11" s="1"/>
  <c r="AE17" i="11" l="1"/>
  <c r="AL36" i="3"/>
  <c r="O37" i="3"/>
  <c r="AF25" i="11" s="1"/>
  <c r="K38" i="3"/>
  <c r="AS36" i="3" l="1"/>
  <c r="AE13" i="11"/>
  <c r="G38" i="3"/>
  <c r="AR38" i="3"/>
  <c r="AC37" i="3"/>
  <c r="AF37" i="3" s="1"/>
  <c r="Q37" i="3" l="1"/>
  <c r="L38" i="3" s="1"/>
  <c r="AF26" i="11"/>
  <c r="AW36" i="3"/>
  <c r="AX36" i="3" s="1"/>
  <c r="AE12" i="11"/>
  <c r="AE18" i="11" s="1"/>
  <c r="AU36" i="3"/>
  <c r="AV36" i="3" s="1"/>
  <c r="I38" i="3"/>
  <c r="S37" i="3" l="1"/>
  <c r="AG37" i="3"/>
  <c r="AH37" i="3" s="1"/>
  <c r="AI37" i="3" s="1"/>
  <c r="R37" i="3"/>
  <c r="T37" i="3"/>
  <c r="AF22" i="11"/>
  <c r="AF23" i="11" s="1"/>
  <c r="J38" i="3"/>
  <c r="AF16" i="11"/>
  <c r="AK37" i="3"/>
  <c r="O38" i="3" l="1"/>
  <c r="AM37" i="3"/>
  <c r="AM61" i="3" s="1"/>
  <c r="AK61" i="3"/>
  <c r="AF17" i="11"/>
  <c r="AI61" i="3"/>
  <c r="Q124" i="12" s="1"/>
  <c r="AL37" i="3"/>
  <c r="AL61" i="3" l="1"/>
  <c r="AS37" i="3"/>
  <c r="AF13" i="11"/>
  <c r="Q38" i="3"/>
  <c r="S38" i="3" s="1"/>
  <c r="AC38" i="3"/>
  <c r="AF38" i="3" s="1"/>
  <c r="AG38" i="3" l="1"/>
  <c r="AH38" i="3" s="1"/>
  <c r="R38" i="3"/>
  <c r="T38" i="3" s="1"/>
  <c r="AS58" i="3"/>
  <c r="AW37" i="3"/>
  <c r="AX37" i="3" s="1"/>
  <c r="AX58" i="3" s="1"/>
  <c r="AU37" i="3"/>
  <c r="AF12" i="11"/>
  <c r="AF18" i="11" s="1"/>
  <c r="R124" i="12"/>
  <c r="R49" i="12"/>
  <c r="AV37" i="3" l="1"/>
  <c r="AV58" i="3" s="1"/>
  <c r="AU58" i="3"/>
  <c r="S49" i="12"/>
  <c r="S124" i="12"/>
  <c r="AI38" i="3"/>
  <c r="AL38" i="3" s="1"/>
  <c r="AS38" i="3" s="1"/>
  <c r="AK38" i="3"/>
  <c r="AM38" i="3" s="1"/>
  <c r="AU38" i="3" l="1"/>
  <c r="AV38" i="3" s="1"/>
  <c r="AW38" i="3"/>
  <c r="AX38"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B23" authorId="0" shapeId="0" xr:uid="{00000000-0006-0000-0100-000001000000}">
      <text>
        <r>
          <rPr>
            <b/>
            <sz val="9"/>
            <color indexed="81"/>
            <rFont val="Segoe UI"/>
            <family val="2"/>
          </rPr>
          <t>Autor:</t>
        </r>
        <r>
          <rPr>
            <sz val="9"/>
            <color indexed="81"/>
            <rFont val="Segoe UI"/>
            <family val="2"/>
          </rPr>
          <t xml:space="preserve">
Mithilfe der Alterswertminderung wird ermittelt, wie weit die Immobilie seit ihrer Entstehung an Wert verloren hat. Hierfür wird das Alter mit dem Wert (z.B. 0,01  für 1,0 % p.a.) multipliziert. Das Ergebnis ist der Prozentsatz, um den sich die reinen Baukosten mindern.
Baukosten bisher – Alterswertminderung = Gebäudesachwert.
beim Verkauf kommt dann noch der Grundstückspreis dazu!</t>
        </r>
      </text>
    </comment>
    <comment ref="A33" authorId="0" shapeId="0" xr:uid="{00000000-0006-0000-0100-000002000000}">
      <text>
        <r>
          <rPr>
            <sz val="9"/>
            <color indexed="81"/>
            <rFont val="Segoe UI"/>
            <family val="2"/>
          </rPr>
          <t xml:space="preserve">In diese Rubrik gehören also alle Kosten, die über die ohnehin notwendige, laufende Instandhaltung hinaus gehen. Eine Faustformel für Gebraucht-Immobilien besagt, dass im Jahresdurchschnitt 0,8 bis ein Prozent der reinen Herstellungskosten für das Gebäude an Instandhaltungsbedarf entstehen. </t>
        </r>
      </text>
    </comment>
    <comment ref="B39" authorId="0" shapeId="0" xr:uid="{00000000-0006-0000-0100-000003000000}">
      <text>
        <r>
          <rPr>
            <b/>
            <sz val="9"/>
            <color indexed="81"/>
            <rFont val="Segoe UI"/>
            <family val="2"/>
          </rPr>
          <t>Autor:</t>
        </r>
        <r>
          <rPr>
            <sz val="9"/>
            <color indexed="81"/>
            <rFont val="Segoe UI"/>
            <family val="2"/>
          </rPr>
          <t xml:space="preserve">
hängt von der Art der Immobilie und Lage ab.
Risiko bei Gewerbe-Immob.  Ist meist höher (4% - 6% und mehr) als bei Wohnimmoblien!
</t>
        </r>
      </text>
    </comment>
    <comment ref="A55" authorId="0" shapeId="0" xr:uid="{8CD9D017-3CBB-4B5A-9668-C516C2341050}">
      <text>
        <r>
          <rPr>
            <sz val="9"/>
            <color indexed="81"/>
            <rFont val="Segoe UI"/>
            <family val="2"/>
          </rPr>
          <t>siehe Blatt 
 "Hinweise"
ab Zeile 92</t>
        </r>
      </text>
    </comment>
    <comment ref="I57" authorId="0" shapeId="0" xr:uid="{28659BF6-65EC-410B-9880-5E04815E72DD}">
      <text>
        <r>
          <rPr>
            <b/>
            <sz val="9"/>
            <color indexed="81"/>
            <rFont val="Segoe UI"/>
            <family val="2"/>
          </rPr>
          <t>Förderzeit</t>
        </r>
        <r>
          <rPr>
            <sz val="9"/>
            <color indexed="81"/>
            <rFont val="Segoe UI"/>
            <family val="2"/>
          </rPr>
          <t xml:space="preserve">
</t>
        </r>
      </text>
    </comment>
    <comment ref="B59" authorId="0" shapeId="0" xr:uid="{EF52C704-74BC-44C1-A6DD-4122F69835B8}">
      <text>
        <r>
          <rPr>
            <b/>
            <sz val="9"/>
            <color indexed="81"/>
            <rFont val="Segoe UI"/>
            <family val="2"/>
          </rPr>
          <t>Im Falle eines Förderkredits ist der Hausbank-Kredit geringer als der Kreditbedarf!</t>
        </r>
      </text>
    </comment>
    <comment ref="I59" authorId="0" shapeId="0" xr:uid="{6F7DF0F9-E82B-42B5-80B2-8FE89479CD1A}">
      <text>
        <r>
          <rPr>
            <b/>
            <sz val="9"/>
            <color indexed="81"/>
            <rFont val="Segoe UI"/>
            <family val="2"/>
          </rPr>
          <t>Förderkredit</t>
        </r>
      </text>
    </comment>
    <comment ref="I60" authorId="0" shapeId="0" xr:uid="{43D3FE68-338D-463A-8EFE-48941AC7C387}">
      <text>
        <r>
          <rPr>
            <b/>
            <sz val="9"/>
            <color indexed="81"/>
            <rFont val="Segoe UI"/>
            <family val="2"/>
          </rPr>
          <t>Autor:</t>
        </r>
        <r>
          <rPr>
            <sz val="9"/>
            <color indexed="81"/>
            <rFont val="Segoe UI"/>
            <family val="2"/>
          </rPr>
          <t xml:space="preserve">
Disagio ist bei Förderkrediten nicht üblich!</t>
        </r>
      </text>
    </comment>
    <comment ref="B61" authorId="0" shapeId="0" xr:uid="{8CBDA91F-00CB-43C0-AFEF-03CFE987AD4F}">
      <text>
        <r>
          <rPr>
            <b/>
            <sz val="9"/>
            <color indexed="81"/>
            <rFont val="Segoe UI"/>
            <charset val="1"/>
          </rPr>
          <t>Autor:</t>
        </r>
        <r>
          <rPr>
            <sz val="9"/>
            <color indexed="81"/>
            <rFont val="Segoe UI"/>
            <charset val="1"/>
          </rPr>
          <t xml:space="preserve">
 Disagio ist in Niedrigzinsphasen außer Mode gekommen!</t>
        </r>
      </text>
    </comment>
    <comment ref="I61" authorId="0" shapeId="0" xr:uid="{0B354CA1-0ED0-40D2-BAD5-E81343D629C4}">
      <text>
        <r>
          <rPr>
            <b/>
            <sz val="9"/>
            <color indexed="81"/>
            <rFont val="Segoe UI"/>
            <family val="2"/>
          </rPr>
          <t xml:space="preserve">Tilgunszuschus p.a.
</t>
        </r>
      </text>
    </comment>
    <comment ref="B62" authorId="0" shapeId="0" xr:uid="{080D3D70-0528-43B8-A0D8-FFB33081B2C3}">
      <text>
        <r>
          <rPr>
            <b/>
            <sz val="9"/>
            <color indexed="81"/>
            <rFont val="Segoe UI"/>
            <charset val="1"/>
          </rPr>
          <t>Autor:</t>
        </r>
        <r>
          <rPr>
            <sz val="9"/>
            <color indexed="81"/>
            <rFont val="Segoe UI"/>
            <charset val="1"/>
          </rPr>
          <t xml:space="preserve">
Disagio ist als Aufwand im Jahr des Anfalls steuerlich ansetzbar!</t>
        </r>
      </text>
    </comment>
    <comment ref="I62" authorId="0" shapeId="0" xr:uid="{D6F968A0-9E3B-48B9-A0B4-63BF6E992DBD}">
      <text>
        <r>
          <rPr>
            <b/>
            <sz val="9"/>
            <color indexed="81"/>
            <rFont val="Segoe UI"/>
            <family val="2"/>
          </rPr>
          <t>Anzahl Tilgungszuschüsse</t>
        </r>
        <r>
          <rPr>
            <sz val="9"/>
            <color indexed="81"/>
            <rFont val="Segoe UI"/>
            <family val="2"/>
          </rPr>
          <t xml:space="preserve">
</t>
        </r>
      </text>
    </comment>
    <comment ref="I64" authorId="0" shapeId="0" xr:uid="{AFC0C0A8-69F5-41E9-88FE-16994F9123B2}">
      <text>
        <r>
          <rPr>
            <b/>
            <sz val="9"/>
            <color indexed="81"/>
            <rFont val="Segoe UI"/>
            <family val="2"/>
          </rPr>
          <t xml:space="preserve">Förderzins
</t>
        </r>
      </text>
    </comment>
    <comment ref="I66" authorId="0" shapeId="0" xr:uid="{65CBFFA7-6867-479C-9A10-626CC508E4BB}">
      <text>
        <r>
          <rPr>
            <b/>
            <sz val="9"/>
            <color indexed="81"/>
            <rFont val="Segoe UI"/>
            <family val="2"/>
          </rPr>
          <t>Annuität Förderkredit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F15" authorId="0" shapeId="0" xr:uid="{AC9C5E70-5C62-4E85-832E-47F957B0B32A}">
      <text>
        <r>
          <rPr>
            <b/>
            <sz val="9"/>
            <color indexed="81"/>
            <rFont val="Segoe UI"/>
            <family val="2"/>
          </rPr>
          <t xml:space="preserve">https://www.faz.net/aktuell/finanzen/immobilien-zuegig-abschreiben-18599959.html?GEPC=s9&amp;premium=0x7494819a022a81a9f4a3f62686ef14c0561c950eb4a44415571570d2646fe373
</t>
        </r>
        <r>
          <rPr>
            <sz val="9"/>
            <color indexed="81"/>
            <rFont val="Segoe UI"/>
            <family val="2"/>
          </rPr>
          <t xml:space="preserve">
Regelmäßig beträgt bei einer Wohnimmobilie die jährliche Abschreibung 2 Prozent der Gebäudekosten. Damit unterstellt der Gesetzgeber eine Nutzungsdauer von 50 Jahren. Dies gilt zunächst auch für eine 90 Jahre alte unrenovierte Immobilie, die zum Beispiel im Jahr 2023 erworben wird. Auch hier unterstellt das Gesetz eine pauschale Restnutzungsdauer des Gebäudes von 50 Jahren. Da dies aber in manchen Fällen nicht der Realität entspricht, sieht das Einkommensteuergesetz eine Ausnahmeregelung vor. Beträgt nämlich die tatsächliche Nutzungsdauer eines Wohngebäudes weniger als 50 Jahre, so kann diese zum Ansatz gebracht werden.</t>
        </r>
      </text>
    </comment>
    <comment ref="F53" authorId="0" shapeId="0" xr:uid="{1EFC1BEF-C26B-4BB1-9635-B4F3B21F18E4}">
      <text>
        <r>
          <rPr>
            <b/>
            <sz val="9"/>
            <color indexed="81"/>
            <rFont val="Segoe UI"/>
            <family val="2"/>
          </rPr>
          <t xml:space="preserve">https://www.faz.net/aktuell/finanzen/immobilien-zuegig-abschreiben-18599959.html?GEPC=s9&amp;premium=0x7494819a022a81a9f4a3f62686ef14c0561c950eb4a44415571570d2646fe373
</t>
        </r>
        <r>
          <rPr>
            <sz val="9"/>
            <color indexed="81"/>
            <rFont val="Segoe UI"/>
            <family val="2"/>
          </rPr>
          <t xml:space="preserve">
Regelmäßig beträgt bei einer Wohnimmobilie die jährliche Abschreibung 2 Prozent der Gebäudekosten. Damit unterstellt der Gesetzgeber eine Nutzungsdauer von 50 Jahren. Dies gilt zunächst auch für eine 90 Jahre alte unrenovierte Immobilie, die zum Beispiel im Jahr 2023 erworben wird. Auch hier unterstellt das Gesetz eine pauschale Restnutzungsdauer des Gebäudes von 50 Jahren. Da dies aber in manchen Fällen nicht der Realität entspricht, sieht das Einkommensteuergesetz eine Ausnahmeregelung vor. Beträgt nämlich die tatsächliche Nutzungsdauer eines Wohngebäudes weniger als 50 Jahre, so kann diese zum Ansatz gebracht werden.</t>
        </r>
        <r>
          <rPr>
            <sz val="9"/>
            <color indexed="81"/>
            <rFont val="Segoe UI"/>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S2" authorId="0" shapeId="0" xr:uid="{00000000-0006-0000-0200-000001000000}">
      <text>
        <r>
          <rPr>
            <b/>
            <sz val="9"/>
            <color indexed="81"/>
            <rFont val="Tahoma"/>
            <family val="2"/>
          </rPr>
          <t xml:space="preserve">Überschuss aus Verkauf =
+ Verkaufspreis
+/- kumul. Mittel-zu/abfluss nach Steuern 
+ Tilgungen
- Investment (=Eigenkapital +Kreditbedarf)
</t>
        </r>
        <r>
          <rPr>
            <b/>
            <u/>
            <sz val="9"/>
            <color indexed="81"/>
            <rFont val="Tahoma"/>
            <family val="2"/>
          </rPr>
          <t>oder anders gerechnet</t>
        </r>
        <r>
          <rPr>
            <b/>
            <sz val="9"/>
            <color indexed="81"/>
            <rFont val="Tahoma"/>
            <family val="2"/>
          </rPr>
          <t xml:space="preserve">: 
+ Verkehrswert
+/- kumul. Cash Flow (Einnahmen-/Ausgaben-Überschuss)
- Eigenkapital
- Restl. Schulden
</t>
        </r>
        <r>
          <rPr>
            <sz val="9"/>
            <color indexed="81"/>
            <rFont val="Tahoma"/>
            <family val="2"/>
          </rPr>
          <t xml:space="preserve">
ein positiver Wert (+) steht für einen Überschuss
ein negativer (-) Wert steht für eine Unterdeckung! 
</t>
        </r>
      </text>
    </comment>
    <comment ref="AQ3" authorId="0" shapeId="0" xr:uid="{00000000-0006-0000-0200-000002000000}">
      <text>
        <r>
          <rPr>
            <b/>
            <sz val="9"/>
            <color indexed="81"/>
            <rFont val="Tahoma"/>
            <family val="2"/>
          </rPr>
          <t>Verkehrswert:</t>
        </r>
        <r>
          <rPr>
            <sz val="9"/>
            <color indexed="81"/>
            <rFont val="Tahoma"/>
            <family val="2"/>
          </rPr>
          <t xml:space="preserve">
unter Berücksichtigung 
# des jährlichen Wertverlustest des Gebäudes sowie der Baukostensteigerung und 
# der jährlichen Wertsteigerung des Grundstücks</t>
        </r>
      </text>
    </comment>
    <comment ref="AR3" authorId="0" shapeId="0" xr:uid="{00000000-0006-0000-0200-000003000000}">
      <text>
        <r>
          <rPr>
            <b/>
            <sz val="9"/>
            <color indexed="81"/>
            <rFont val="Tahoma"/>
            <family val="2"/>
          </rPr>
          <t>Verkehrswert:</t>
        </r>
        <r>
          <rPr>
            <sz val="9"/>
            <color indexed="81"/>
            <rFont val="Tahoma"/>
            <family val="2"/>
          </rPr>
          <t xml:space="preserve">
unter Berücksichtigung 
# des jährlichen Wertverlustest des Gebäudes sowie der Baukostensteigerung und 
# der jährlichen Wertsteigerung des Grundstücks</t>
        </r>
      </text>
    </comment>
    <comment ref="H4" authorId="0" shapeId="0" xr:uid="{7A96DFBB-48C6-4DED-BF2A-3A8346680130}">
      <text>
        <r>
          <rPr>
            <b/>
            <sz val="9"/>
            <color indexed="81"/>
            <rFont val="Segoe UI"/>
            <family val="2"/>
          </rPr>
          <t xml:space="preserve">Achtung:
- Sondertilgung mit (-) Negativerwert eintragen, 
</t>
        </r>
        <r>
          <rPr>
            <sz val="9"/>
            <color indexed="81"/>
            <rFont val="Segoe UI"/>
            <family val="2"/>
          </rPr>
          <t xml:space="preserve">da es sich um eine Ausgabe bzw. Mittelabfluss (-) handelt!
</t>
        </r>
      </text>
    </comment>
    <comment ref="AG4" authorId="0" shapeId="0" xr:uid="{00000000-0006-0000-0200-000004000000}">
      <text>
        <r>
          <rPr>
            <b/>
            <sz val="9"/>
            <color indexed="81"/>
            <rFont val="Tahoma"/>
            <family val="2"/>
          </rPr>
          <t>Mittelfluss vor Steuer =</t>
        </r>
        <r>
          <rPr>
            <sz val="9"/>
            <color indexed="81"/>
            <rFont val="Tahoma"/>
            <family val="2"/>
          </rPr>
          <t xml:space="preserve">
+ Miete 
- Annuität (Zins &amp; Tilgung) 
- Sondertilgung
- Unterhaltskosten
 </t>
        </r>
      </text>
    </comment>
    <comment ref="AH4" authorId="0" shapeId="0" xr:uid="{00000000-0006-0000-0200-000005000000}">
      <text>
        <r>
          <rPr>
            <b/>
            <sz val="9"/>
            <color indexed="81"/>
            <rFont val="Tahoma"/>
            <family val="2"/>
          </rPr>
          <t>Mittelfluss nach Steuer =</t>
        </r>
        <r>
          <rPr>
            <sz val="9"/>
            <color indexed="81"/>
            <rFont val="Tahoma"/>
            <family val="2"/>
          </rPr>
          <t xml:space="preserve">
+ Miete 
- Annuität (Zins &amp; Tilgung) 
- Sondertilgung
- Unterhaltskosten
+ Steuerersparnis bzw.
 -  Steuerzahlung </t>
        </r>
      </text>
    </comment>
    <comment ref="AO4" authorId="0" shapeId="0" xr:uid="{00000000-0006-0000-0200-000006000000}">
      <text>
        <r>
          <rPr>
            <b/>
            <sz val="9"/>
            <color indexed="81"/>
            <rFont val="Segoe UI"/>
            <family val="2"/>
          </rPr>
          <t>Marktwert:
enthält keine anteiligen Nebenerwerbskosten</t>
        </r>
        <r>
          <rPr>
            <sz val="9"/>
            <color indexed="81"/>
            <rFont val="Segoe UI"/>
            <family val="2"/>
          </rPr>
          <t xml:space="preserve">
</t>
        </r>
      </text>
    </comment>
    <comment ref="AP4" authorId="0" shapeId="0" xr:uid="{00000000-0006-0000-0200-000007000000}">
      <text>
        <r>
          <rPr>
            <b/>
            <sz val="9"/>
            <color indexed="81"/>
            <rFont val="Segoe UI"/>
            <family val="2"/>
          </rPr>
          <t>Marktwert:
enthält keine anteiligen Nebenerwerbskosten</t>
        </r>
        <r>
          <rPr>
            <sz val="9"/>
            <color indexed="81"/>
            <rFont val="Segoe UI"/>
            <family val="2"/>
          </rPr>
          <t xml:space="preserve">
</t>
        </r>
      </text>
    </comment>
    <comment ref="AU4" authorId="0" shapeId="0" xr:uid="{00000000-0006-0000-0200-000008000000}">
      <text>
        <r>
          <rPr>
            <b/>
            <sz val="9"/>
            <color indexed="81"/>
            <rFont val="Tahoma"/>
            <family val="2"/>
          </rPr>
          <t>Gesamte Anschaffungskosten:</t>
        </r>
        <r>
          <rPr>
            <sz val="9"/>
            <color indexed="81"/>
            <rFont val="Tahoma"/>
            <family val="2"/>
          </rPr>
          <t xml:space="preserve">
Immobilienpreis plus Grunderwerbssteuer plus Notargebühr plus evtl. Maklergebühr</t>
        </r>
      </text>
    </comment>
    <comment ref="AC5" authorId="0" shapeId="0" xr:uid="{00000000-0006-0000-0200-000009000000}">
      <text>
        <r>
          <rPr>
            <b/>
            <sz val="9"/>
            <color indexed="81"/>
            <rFont val="Tahoma"/>
            <family val="2"/>
          </rPr>
          <t xml:space="preserve">Zu versteuernder Gewinn= </t>
        </r>
        <r>
          <rPr>
            <sz val="9"/>
            <color indexed="81"/>
            <rFont val="Tahoma"/>
            <family val="2"/>
          </rPr>
          <t xml:space="preserve">
Einnahmen aus Vermietung und Verpachtung
- Gebäude AFA
- Unterhalts- u. Betriebskosten 
- Zinsen
- Disagio im 1. Jahr
</t>
        </r>
      </text>
    </comment>
    <comment ref="AP5" authorId="0" shapeId="0" xr:uid="{00000000-0006-0000-0200-00000A000000}">
      <text>
        <r>
          <rPr>
            <b/>
            <sz val="9"/>
            <color indexed="81"/>
            <rFont val="Segoe UI"/>
            <family val="2"/>
          </rPr>
          <t>Aufgepasst:</t>
        </r>
        <r>
          <rPr>
            <sz val="9"/>
            <color indexed="81"/>
            <rFont val="Segoe UI"/>
            <family val="2"/>
          </rPr>
          <t xml:space="preserve">
Marktwert ist nicht identisch mit der AfA-Basis für das Gebäude!</t>
        </r>
      </text>
    </comment>
    <comment ref="W6" authorId="0" shapeId="0" xr:uid="{00000000-0006-0000-0200-00000B000000}">
      <text>
        <r>
          <rPr>
            <sz val="12"/>
            <rFont val="Arial"/>
            <family val="2"/>
          </rPr>
          <t xml:space="preserve">Unter Berücksichtigung der unterstellen jährlichen Mietpreissteigerungen und Leerstandsrisiko
</t>
        </r>
      </text>
    </comment>
    <comment ref="AK6" authorId="0" shapeId="0" xr:uid="{08300A2D-4789-4FFA-AE1B-1A7E9DCE61CF}">
      <text>
        <r>
          <rPr>
            <b/>
            <sz val="9"/>
            <color indexed="81"/>
            <rFont val="Segoe UI"/>
            <family val="2"/>
          </rPr>
          <t>Autor:</t>
        </r>
        <r>
          <rPr>
            <sz val="9"/>
            <color indexed="81"/>
            <rFont val="Segoe UI"/>
            <family val="2"/>
          </rPr>
          <t xml:space="preserve">
Verzinsung nach Steuer
</t>
        </r>
      </text>
    </comment>
    <comment ref="AM6" authorId="0" shapeId="0" xr:uid="{7646E008-8390-4BB3-B38E-7961133E8205}">
      <text>
        <r>
          <rPr>
            <b/>
            <sz val="9"/>
            <color indexed="81"/>
            <rFont val="Segoe UI"/>
            <family val="2"/>
          </rPr>
          <t>Autor:</t>
        </r>
        <r>
          <rPr>
            <sz val="9"/>
            <color indexed="81"/>
            <rFont val="Segoe UI"/>
            <family val="2"/>
          </rPr>
          <t xml:space="preserve">
Verzinsung nach Steuer
</t>
        </r>
      </text>
    </comment>
    <comment ref="H7" authorId="0" shapeId="0" xr:uid="{BCEA599A-3FFA-4E96-90EA-51179A556B5B}">
      <text>
        <r>
          <rPr>
            <b/>
            <sz val="9"/>
            <color indexed="81"/>
            <rFont val="Segoe UI"/>
            <family val="2"/>
          </rPr>
          <t xml:space="preserve">Achtung:
Sondertilgung mit (-) 
</t>
        </r>
        <r>
          <rPr>
            <sz val="9"/>
            <color indexed="81"/>
            <rFont val="Segoe UI"/>
            <family val="2"/>
          </rPr>
          <t xml:space="preserve">Negativer Wert </t>
        </r>
        <r>
          <rPr>
            <b/>
            <sz val="9"/>
            <color indexed="81"/>
            <rFont val="Segoe UI"/>
            <family val="2"/>
          </rPr>
          <t xml:space="preserve">eintragen, </t>
        </r>
        <r>
          <rPr>
            <sz val="9"/>
            <color indexed="81"/>
            <rFont val="Segoe UI"/>
            <family val="2"/>
          </rPr>
          <t xml:space="preserve">
</t>
        </r>
        <r>
          <rPr>
            <b/>
            <sz val="9"/>
            <color indexed="81"/>
            <rFont val="Segoe UI"/>
            <family val="2"/>
          </rPr>
          <t>da</t>
        </r>
        <r>
          <rPr>
            <sz val="9"/>
            <color indexed="81"/>
            <rFont val="Segoe UI"/>
            <family val="2"/>
          </rPr>
          <t xml:space="preserve"> es sich um eine Ausgabe bzw. </t>
        </r>
        <r>
          <rPr>
            <b/>
            <sz val="9"/>
            <color indexed="81"/>
            <rFont val="Segoe UI"/>
            <family val="2"/>
          </rPr>
          <t xml:space="preserve">Mittelabfluss (-) </t>
        </r>
        <r>
          <rPr>
            <sz val="9"/>
            <color indexed="81"/>
            <rFont val="Segoe UI"/>
            <family val="2"/>
          </rPr>
          <t>handelt!</t>
        </r>
      </text>
    </comment>
    <comment ref="Z7" authorId="0" shapeId="0" xr:uid="{2674AB38-647E-46E0-B124-0994861C467B}">
      <text>
        <r>
          <rPr>
            <b/>
            <sz val="9"/>
            <color indexed="81"/>
            <rFont val="Segoe UI"/>
            <family val="2"/>
          </rPr>
          <t xml:space="preserve">Sonder-AfA in Euro:
</t>
        </r>
        <r>
          <rPr>
            <sz val="9"/>
            <color indexed="81"/>
            <rFont val="Segoe UI"/>
            <family val="2"/>
          </rPr>
          <t xml:space="preserve">Bitte manuell  als </t>
        </r>
        <r>
          <rPr>
            <b/>
            <sz val="9"/>
            <color indexed="81"/>
            <rFont val="Segoe UI"/>
            <family val="2"/>
          </rPr>
          <t xml:space="preserve">negativer Wert (-) eintragen,  da </t>
        </r>
        <r>
          <rPr>
            <sz val="9"/>
            <color indexed="81"/>
            <rFont val="Segoe UI"/>
            <family val="2"/>
          </rPr>
          <t xml:space="preserve">es sich um einen 
</t>
        </r>
        <r>
          <rPr>
            <b/>
            <sz val="9"/>
            <color indexed="81"/>
            <rFont val="Segoe UI"/>
            <family val="2"/>
          </rPr>
          <t>kalkulatorischen  Aufwand</t>
        </r>
        <r>
          <rPr>
            <sz val="9"/>
            <color indexed="81"/>
            <rFont val="Segoe UI"/>
            <family val="2"/>
          </rPr>
          <t xml:space="preserve"> </t>
        </r>
        <r>
          <rPr>
            <b/>
            <sz val="9"/>
            <color indexed="81"/>
            <rFont val="Segoe UI"/>
            <family val="2"/>
          </rPr>
          <t>(-)</t>
        </r>
        <r>
          <rPr>
            <sz val="9"/>
            <color indexed="81"/>
            <rFont val="Segoe UI"/>
            <family val="2"/>
          </rPr>
          <t xml:space="preserve"> handelt!</t>
        </r>
      </text>
    </comment>
    <comment ref="AB7" authorId="0" shapeId="0" xr:uid="{EE45E686-66B6-4B07-94A2-D4074E82FD17}">
      <text>
        <r>
          <rPr>
            <b/>
            <sz val="9"/>
            <color indexed="81"/>
            <rFont val="Segoe UI"/>
            <family val="2"/>
          </rPr>
          <t>AfA Basis entspricht:</t>
        </r>
        <r>
          <rPr>
            <sz val="9"/>
            <color indexed="81"/>
            <rFont val="Segoe UI"/>
            <family val="2"/>
          </rPr>
          <t xml:space="preserve">
 Gebäudewert bei Kauf
 + Fittiing up 
 + anteilige Erwerbsnebenkosten (ENK)
</t>
        </r>
      </text>
    </comment>
    <comment ref="AG7" authorId="0" shapeId="0" xr:uid="{00000000-0006-0000-0200-00000D000000}">
      <text>
        <r>
          <rPr>
            <b/>
            <sz val="9"/>
            <color indexed="81"/>
            <rFont val="Tahoma"/>
            <family val="2"/>
          </rPr>
          <t>Zufluss:
ausgezahlter Kreditbetrag</t>
        </r>
      </text>
    </comment>
    <comment ref="AH7" authorId="0" shapeId="0" xr:uid="{00000000-0006-0000-0200-00000E000000}">
      <text>
        <r>
          <rPr>
            <b/>
            <sz val="9"/>
            <color indexed="81"/>
            <rFont val="Tahoma"/>
            <family val="2"/>
          </rPr>
          <t xml:space="preserve">Abfluss = 
</t>
        </r>
        <r>
          <rPr>
            <sz val="9"/>
            <color indexed="81"/>
            <rFont val="Tahoma"/>
            <family val="2"/>
          </rPr>
          <t xml:space="preserve">Investment 
plus
eingesetzes Eigenkapital
</t>
        </r>
      </text>
    </comment>
    <comment ref="AP7" authorId="0" shapeId="0" xr:uid="{00000000-0006-0000-0200-00000F000000}">
      <text>
        <r>
          <rPr>
            <b/>
            <sz val="9"/>
            <color indexed="81"/>
            <rFont val="Tahoma"/>
            <family val="2"/>
          </rPr>
          <t xml:space="preserve">Annahmen:
</t>
        </r>
        <r>
          <rPr>
            <sz val="9"/>
            <color indexed="81"/>
            <rFont val="Tahoma"/>
            <family val="2"/>
          </rPr>
          <t>Der Gebäudewert erhöht sich: 
um die Kosten des anfängl. Fitting Up,
nicht aber um die anteiligen Nebenerwerbskosten (NEK)
und ersten Instandhaltungen.</t>
        </r>
      </text>
    </comment>
    <comment ref="AQ7" authorId="0" shapeId="0" xr:uid="{00000000-0006-0000-0200-000010000000}">
      <text>
        <r>
          <rPr>
            <b/>
            <sz val="9"/>
            <color indexed="81"/>
            <rFont val="Tahoma"/>
            <family val="2"/>
          </rPr>
          <t>Annahme:
Das Objekt steigt im 1. Jahr im Wert um die  anfänglichen Fitting up Kosten.</t>
        </r>
        <r>
          <rPr>
            <sz val="9"/>
            <color indexed="81"/>
            <rFont val="Tahoma"/>
            <family val="2"/>
          </rPr>
          <t xml:space="preserve">
</t>
        </r>
      </text>
    </comment>
    <comment ref="AS7" authorId="0" shapeId="0" xr:uid="{00000000-0006-0000-0200-000011000000}">
      <text>
        <r>
          <rPr>
            <b/>
            <sz val="9"/>
            <color indexed="81"/>
            <rFont val="Tahoma"/>
            <family val="2"/>
          </rPr>
          <t>Bei einem sofortigen Wiederverkauf sind ein Plus für Kosten für Grunderwerb, Makler und Notar selten zu erzielen. Die kriegt frau/man meist nicht wieder!
Auch erste Instandhaltungskosten erhöhen i.d.R. nicht den Verkaufspreis.</t>
        </r>
      </text>
    </comment>
    <comment ref="V8" authorId="0" shapeId="0" xr:uid="{052B3EE2-9414-40F1-92BC-B24A687A1937}">
      <text>
        <r>
          <rPr>
            <b/>
            <sz val="9"/>
            <color indexed="81"/>
            <rFont val="Segoe UI"/>
            <family val="2"/>
          </rPr>
          <t>Autor:</t>
        </r>
        <r>
          <rPr>
            <sz val="9"/>
            <color indexed="81"/>
            <rFont val="Segoe UI"/>
            <family val="2"/>
          </rPr>
          <t xml:space="preserve">
Unterhaltskosten plus Instandhaltungskosten im 1. Jahr (meist vor der Vermietung)</t>
        </r>
      </text>
    </comment>
    <comment ref="AK8" authorId="0" shapeId="0" xr:uid="{ABF7F17D-045F-4B72-B6CE-DD7615579340}">
      <text>
        <r>
          <rPr>
            <sz val="9"/>
            <color indexed="81"/>
            <rFont val="Segoe UI"/>
            <family val="2"/>
          </rPr>
          <t>Der Cash fällt monatlich an. Übers Jahr beträgt er im Durchschnitt:  CF zum Jahresende / 2 d.h.  die Hälfte des CF am Jahresende. Also berechene ich den Zinsgewinn auf Basis der Hälfte des CF des Jahres plus dem Kumul. CF aus den Vorjahren mit Zins für ein Jahr.</t>
        </r>
      </text>
    </comment>
    <comment ref="AB13" authorId="0" shapeId="0" xr:uid="{CB841F86-DAF9-4163-8F5D-463F517D9C79}">
      <text>
        <r>
          <rPr>
            <b/>
            <sz val="9"/>
            <color indexed="81"/>
            <rFont val="Segoe UI"/>
            <family val="2"/>
          </rPr>
          <t>RBWnach6Jahren:</t>
        </r>
        <r>
          <rPr>
            <sz val="9"/>
            <color indexed="81"/>
            <rFont val="Segoe UI"/>
            <family val="2"/>
          </rPr>
          <t xml:space="preserve">
Bei Degressiv-Linearer AfA beginnt im 7. Jahr die Lineare AfA. Dann wird der/dieser Restbuchwert (RBW) des Gebäudes am Endes des 6  Jahress (= Wert zu Beginn des 7. Jahres) in den Folgejahren linear abgeschrieben!</t>
        </r>
      </text>
    </comment>
    <comment ref="X14" authorId="0" shapeId="0" xr:uid="{9133A2C4-D8B8-41B3-B5FC-93B50CD80610}">
      <text>
        <r>
          <rPr>
            <b/>
            <sz val="9"/>
            <color indexed="81"/>
            <rFont val="Segoe UI"/>
            <family val="2"/>
          </rPr>
          <t>Beachte:</t>
        </r>
        <r>
          <rPr>
            <sz val="9"/>
            <color indexed="81"/>
            <rFont val="Segoe UI"/>
            <family val="2"/>
          </rPr>
          <t xml:space="preserve">
Bei Degressiv-Linearer AfA beginnt im 7. Jahr die Lineare AfA. Dann wird der Buchwert des Gebäudes am Endes des 6  Jahress (= Wert zu Beginn des 7. Jahres) in den Folgejahren linear abgeschrieben!
</t>
        </r>
      </text>
    </comment>
    <comment ref="Y14" authorId="0" shapeId="0" xr:uid="{29CEB526-0F93-463F-A5C9-CAC5D36EAA1A}">
      <text>
        <r>
          <rPr>
            <b/>
            <sz val="9"/>
            <color indexed="81"/>
            <rFont val="Segoe UI"/>
            <family val="2"/>
          </rPr>
          <t>Beachte:</t>
        </r>
        <r>
          <rPr>
            <sz val="9"/>
            <color indexed="81"/>
            <rFont val="Segoe UI"/>
            <family val="2"/>
          </rPr>
          <t xml:space="preserve">
Bei Degressiv-Linearer AfA beginnt im 7. Jahr die Lineare AfA. Dann wird der Buchwert des Gebäudes am Endes des 6  Jahress (= Wert zu Beginn des 7. Jahres) in den Folgejahren linear abgeschrieben!</t>
        </r>
      </text>
    </comment>
    <comment ref="AA14" authorId="0" shapeId="0" xr:uid="{F8CC2905-55A2-4C48-9048-2706EA7C5CD4}">
      <text>
        <r>
          <rPr>
            <b/>
            <sz val="9"/>
            <color indexed="81"/>
            <rFont val="Segoe UI"/>
            <family val="2"/>
          </rPr>
          <t xml:space="preserve">Beachte:
</t>
        </r>
        <r>
          <rPr>
            <sz val="9"/>
            <color indexed="81"/>
            <rFont val="Segoe UI"/>
            <family val="2"/>
          </rPr>
          <t xml:space="preserve">Bei Degressiv-Linearer AfA beginnt im 7. Jahr die Lineare AfA. Dann wird der Restbuchwert (RBW) des Gebäudes am Endes des 6  Jahress (= Wert zu Beginn des 7. Jahres) in den Folgejahren linear abgeschrieben!
</t>
        </r>
      </text>
    </comment>
    <comment ref="AR41" authorId="0" shapeId="0" xr:uid="{00000000-0006-0000-0200-000012000000}">
      <text>
        <r>
          <rPr>
            <b/>
            <sz val="9"/>
            <color indexed="81"/>
            <rFont val="Segoe UI"/>
            <family val="2"/>
          </rPr>
          <t>Indikator für Kreditrisiko einer Bank</t>
        </r>
        <r>
          <rPr>
            <sz val="9"/>
            <color indexed="81"/>
            <rFont val="Segoe UI"/>
            <family val="2"/>
          </rPr>
          <t xml:space="preserve">
neben EK-Quote,
Sicherheiten
und Bonitäts-Score des Kreditnehmers</t>
        </r>
      </text>
    </comment>
    <comment ref="AS48" authorId="0" shapeId="0" xr:uid="{00000000-0006-0000-0200-000013000000}">
      <text>
        <r>
          <rPr>
            <b/>
            <sz val="9"/>
            <color indexed="81"/>
            <rFont val="Tahoma"/>
            <family val="2"/>
          </rPr>
          <t xml:space="preserve">Verkaufserlöse +/- kumul. Mittel-zu/abfluss nach Steuern - Eigenkapital -Restl. Schulden
</t>
        </r>
        <r>
          <rPr>
            <sz val="9"/>
            <color indexed="81"/>
            <rFont val="Tahoma"/>
            <family val="2"/>
          </rPr>
          <t xml:space="preserve">
ein positiver Wert (+) steht für einen Überschuss
ein negativer (-) Wert steht für eine Unterdeckung! Wertsteigerung des Grundstücks</t>
        </r>
      </text>
    </comment>
    <comment ref="AQ49" authorId="0" shapeId="0" xr:uid="{00000000-0006-0000-0200-000014000000}">
      <text>
        <r>
          <rPr>
            <b/>
            <sz val="9"/>
            <color indexed="81"/>
            <rFont val="Tahoma"/>
            <family val="2"/>
          </rPr>
          <t>Verkehrswert:</t>
        </r>
        <r>
          <rPr>
            <sz val="9"/>
            <color indexed="81"/>
            <rFont val="Tahoma"/>
            <family val="2"/>
          </rPr>
          <t xml:space="preserve">
unter Berücksichtigung 
# des jährlichen Wertverlustest des Gebäudes sowie der Baukostensteigerung und 
# der jährlichen Wertsteigerung des Grundstücks</t>
        </r>
      </text>
    </comment>
    <comment ref="AR49" authorId="0" shapeId="0" xr:uid="{00000000-0006-0000-0200-000015000000}">
      <text>
        <r>
          <rPr>
            <b/>
            <sz val="9"/>
            <color indexed="81"/>
            <rFont val="Tahoma"/>
            <family val="2"/>
          </rPr>
          <t>Verkehrswert:</t>
        </r>
        <r>
          <rPr>
            <sz val="9"/>
            <color indexed="81"/>
            <rFont val="Tahoma"/>
            <family val="2"/>
          </rPr>
          <t xml:space="preserve">
unter Berücksichtigung 
# des jährlichen Wertverlustest des Gebäudes sowie der Baukostensteigerung und 
# der jährlichen Wertsteigerung des Grundstücks</t>
        </r>
      </text>
    </comment>
    <comment ref="AU50" authorId="0" shapeId="0" xr:uid="{00000000-0006-0000-0200-000016000000}">
      <text>
        <r>
          <rPr>
            <b/>
            <sz val="9"/>
            <color indexed="81"/>
            <rFont val="Tahoma"/>
            <family val="2"/>
          </rPr>
          <t>Gesamte Anschaffungskosten:</t>
        </r>
        <r>
          <rPr>
            <sz val="9"/>
            <color indexed="81"/>
            <rFont val="Tahoma"/>
            <family val="2"/>
          </rPr>
          <t xml:space="preserve">
Immobilienpreis plus Grunderwerbssteuer plus Notargebühr plus evtl. Maklergebühr</t>
        </r>
      </text>
    </comment>
    <comment ref="AK54" authorId="0" shapeId="0" xr:uid="{DAB89991-F074-4D3D-8819-BA490147FB20}">
      <text>
        <r>
          <rPr>
            <b/>
            <sz val="9"/>
            <color indexed="81"/>
            <rFont val="Segoe UI"/>
            <family val="2"/>
          </rPr>
          <t>Autor:</t>
        </r>
        <r>
          <rPr>
            <sz val="9"/>
            <color indexed="81"/>
            <rFont val="Segoe UI"/>
            <family val="2"/>
          </rPr>
          <t xml:space="preserve">
Verzinsung nach Steuer
</t>
        </r>
      </text>
    </comment>
    <comment ref="AM54" authorId="0" shapeId="0" xr:uid="{458236FB-A9DA-4F1E-BA17-6B94D4FD61E5}">
      <text>
        <r>
          <rPr>
            <b/>
            <sz val="9"/>
            <color indexed="81"/>
            <rFont val="Segoe UI"/>
            <family val="2"/>
          </rPr>
          <t>Autor:</t>
        </r>
        <r>
          <rPr>
            <sz val="9"/>
            <color indexed="81"/>
            <rFont val="Segoe UI"/>
            <family val="2"/>
          </rPr>
          <t xml:space="preserve">
Verzinsung nach Steuer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S39" authorId="0" shapeId="0" xr:uid="{00000000-0006-0000-0400-000001000000}">
      <text>
        <r>
          <rPr>
            <b/>
            <sz val="9"/>
            <color indexed="81"/>
            <rFont val="Tahoma"/>
            <family val="2"/>
          </rPr>
          <t xml:space="preserve">Verkaufserlöse +/- kumul. Mittel-zu/abfluss nach Steuern - Eigenkapital -Restl. Schulden
</t>
        </r>
        <r>
          <rPr>
            <sz val="9"/>
            <color indexed="81"/>
            <rFont val="Tahoma"/>
            <family val="2"/>
          </rPr>
          <t xml:space="preserve">
ein positiver Wert (+) steht für einen Überschuss
ein negativer (-) Wert steht für eine Unterdeckung! Wertsteigerung des Grundstücks</t>
        </r>
      </text>
    </comment>
    <comment ref="L42" authorId="0" shapeId="0" xr:uid="{00000000-0006-0000-0400-000002000000}">
      <text>
        <r>
          <rPr>
            <b/>
            <sz val="9"/>
            <color indexed="81"/>
            <rFont val="Segoe UI"/>
            <family val="2"/>
          </rPr>
          <t xml:space="preserve">Nur Zinsen:
</t>
        </r>
        <r>
          <rPr>
            <sz val="9"/>
            <color indexed="81"/>
            <rFont val="Segoe UI"/>
            <family val="2"/>
          </rPr>
          <t>Die monatliche Darlehnsleistung (Zins + Tilgung) ist ein einen Mittelabfluss (Zahlung an die Bank).
ABER: Die darin enthaltene Tilgung stellt mein Vermögenszuswachs dar (= weniger Schulden).
 Zinsen = Annuität - Tilgung</t>
        </r>
      </text>
    </comment>
    <comment ref="S115" authorId="0" shapeId="0" xr:uid="{00000000-0006-0000-0400-000003000000}">
      <text>
        <r>
          <rPr>
            <b/>
            <sz val="9"/>
            <color indexed="81"/>
            <rFont val="Tahoma"/>
            <family val="2"/>
          </rPr>
          <t xml:space="preserve">Verkaufserlöse +/- kumul. Mittel-zu/abfluss nach Steuern - Eigenkapital -Restl. Schulden
</t>
        </r>
        <r>
          <rPr>
            <sz val="9"/>
            <color indexed="81"/>
            <rFont val="Tahoma"/>
            <family val="2"/>
          </rPr>
          <t xml:space="preserve">
ein positiver Wert (+) steht für einen Überschuss
ein negativer (-) Wert steht für eine Unterdeckung! Wertsteigerung des Grundstücks</t>
        </r>
      </text>
    </comment>
    <comment ref="T115" authorId="0" shapeId="0" xr:uid="{00000000-0006-0000-0400-000004000000}">
      <text>
        <r>
          <rPr>
            <b/>
            <sz val="9"/>
            <color indexed="81"/>
            <rFont val="Tahoma"/>
            <family val="2"/>
          </rPr>
          <t>Verkehrswert:</t>
        </r>
        <r>
          <rPr>
            <sz val="9"/>
            <color indexed="81"/>
            <rFont val="Tahoma"/>
            <family val="2"/>
          </rPr>
          <t xml:space="preserve">
unter Berücksichtigung 
# des jährlichen Wertverlustest des Gebäudes sowie der Baukostensteigerung und 
# der jährlichen Wertsteigerung des Grundstücks</t>
        </r>
      </text>
    </comment>
  </commentList>
</comments>
</file>

<file path=xl/sharedStrings.xml><?xml version="1.0" encoding="utf-8"?>
<sst xmlns="http://schemas.openxmlformats.org/spreadsheetml/2006/main" count="1140" uniqueCount="751">
  <si>
    <t>Dateneingabe:</t>
  </si>
  <si>
    <t>in den Gelben Parameter-Feldern</t>
  </si>
  <si>
    <t xml:space="preserve">Die Dateneingabe der Paramater erfolgt durch </t>
  </si>
  <si>
    <t>Übertippen der  Eingaben in den gelben Feldern</t>
  </si>
  <si>
    <t>in dem Arbeitsblatt "Parameter"</t>
  </si>
  <si>
    <t>Warnung:</t>
  </si>
  <si>
    <t>Niemand kann die Zukunft genau vorhersagen. Deshalb wird</t>
  </si>
  <si>
    <t xml:space="preserve">die berechnete Nach-Steuer-Belastung auch nie so exakt </t>
  </si>
  <si>
    <t>Merke:</t>
  </si>
  <si>
    <t>Eine Modellrechnung liefert keine Ergebnis-Garantie!</t>
  </si>
  <si>
    <t>info@odenwalder-consulting.com</t>
  </si>
  <si>
    <t>Kauf am:</t>
  </si>
  <si>
    <t xml:space="preserve">  = Jahr</t>
  </si>
  <si>
    <t>Kaufpreis (Grundstück &amp; Gebäude)</t>
  </si>
  <si>
    <t xml:space="preserve">   davon für Grundstück</t>
  </si>
  <si>
    <t xml:space="preserve">   davon für Gebäude</t>
  </si>
  <si>
    <t>Grunderwerbsteuer</t>
  </si>
  <si>
    <t xml:space="preserve"> auf Kaufpreis (=Grund &amp; Gebäude)</t>
  </si>
  <si>
    <t>Maklergebühren</t>
  </si>
  <si>
    <t>Notargebühren</t>
  </si>
  <si>
    <t>Gesamtkosten</t>
  </si>
  <si>
    <t>Miete p.m.</t>
  </si>
  <si>
    <t>Miete p.a.</t>
  </si>
  <si>
    <t>1. Miete am:</t>
  </si>
  <si>
    <t>Mietpreissteigerung p.a.</t>
  </si>
  <si>
    <t>p.a.</t>
  </si>
  <si>
    <t>Wertverlust des Gebäudes p.a.</t>
  </si>
  <si>
    <t>Angenommener Grenz-Steuersatz</t>
  </si>
  <si>
    <t>Eigenkapital</t>
  </si>
  <si>
    <t>Gesamtinvestion</t>
  </si>
  <si>
    <t>Finanzbedarf</t>
  </si>
  <si>
    <t>Finanzierungszeitraum</t>
  </si>
  <si>
    <t>1. Kredit</t>
  </si>
  <si>
    <t>Auszahlungkurs in Prozent</t>
  </si>
  <si>
    <t>Disagio in Prozent</t>
  </si>
  <si>
    <t xml:space="preserve"> </t>
  </si>
  <si>
    <t>Diasagio-Betrag:</t>
  </si>
  <si>
    <t>Auszahlungsbetrag:</t>
  </si>
  <si>
    <t>Nominalzins p.a.</t>
  </si>
  <si>
    <t>entspricht Effektivzins ca.</t>
  </si>
  <si>
    <t xml:space="preserve">  bei monatl. Tilgung</t>
  </si>
  <si>
    <t>2. Kredit</t>
  </si>
  <si>
    <t>Anschlusskredit</t>
  </si>
  <si>
    <t>. Jahr</t>
  </si>
  <si>
    <t>Ende Restlaufzeit</t>
  </si>
  <si>
    <t>Warnung</t>
  </si>
  <si>
    <t>Die oben angegebenen Zahlen stellen zukunftsgerichtete Planzahlen dar. Sie basieren auf:</t>
  </si>
  <si>
    <t>Annahmen, Schätzungen und Angeboten von Lieferanten, die nicht unter unserer Kontrolle sind.</t>
  </si>
  <si>
    <t>Vermögens-</t>
  </si>
  <si>
    <t>Jahr</t>
  </si>
  <si>
    <t>Gebäude</t>
  </si>
  <si>
    <t>über die Jahre</t>
  </si>
  <si>
    <t>Geschätzter</t>
  </si>
  <si>
    <t>Überschuss bei</t>
  </si>
  <si>
    <t>Mittel-</t>
  </si>
  <si>
    <t>kumul.</t>
  </si>
  <si>
    <t>Überschuss</t>
  </si>
  <si>
    <t xml:space="preserve">Jährliche </t>
  </si>
  <si>
    <t>Zins</t>
  </si>
  <si>
    <t>Kumul.</t>
  </si>
  <si>
    <t xml:space="preserve"> Tilgung</t>
  </si>
  <si>
    <t>Annuität=</t>
  </si>
  <si>
    <t>Ertrag aus</t>
  </si>
  <si>
    <t>Zu  ver-</t>
  </si>
  <si>
    <t xml:space="preserve"> (Grenz-)</t>
  </si>
  <si>
    <t>zufluss (+) bzw.</t>
  </si>
  <si>
    <t>Verkehrswert</t>
  </si>
  <si>
    <t>aus Verkauf des</t>
  </si>
  <si>
    <t>bezogen auf</t>
  </si>
  <si>
    <t>Rendite p.a. in %</t>
  </si>
  <si>
    <t>Restschuld</t>
  </si>
  <si>
    <t>in %</t>
  </si>
  <si>
    <t xml:space="preserve">  Zinsen</t>
  </si>
  <si>
    <t>Zins +</t>
  </si>
  <si>
    <t>Vermietung</t>
  </si>
  <si>
    <t xml:space="preserve"> AFA</t>
  </si>
  <si>
    <t>steuernder</t>
  </si>
  <si>
    <t>Steuer-</t>
  </si>
  <si>
    <t>Abfluss (-)</t>
  </si>
  <si>
    <t xml:space="preserve">  zu-/abfluss</t>
  </si>
  <si>
    <t xml:space="preserve"> (Verkaufswert)</t>
  </si>
  <si>
    <t>Objektes plus</t>
  </si>
  <si>
    <t>Gesamtkosten von</t>
  </si>
  <si>
    <t xml:space="preserve">   in €</t>
  </si>
  <si>
    <t>Tilgung</t>
  </si>
  <si>
    <t>kosten u.</t>
  </si>
  <si>
    <t>in € p.a.</t>
  </si>
  <si>
    <t xml:space="preserve"> in % </t>
  </si>
  <si>
    <t>in €</t>
  </si>
  <si>
    <t>Gewinn(+)</t>
  </si>
  <si>
    <t>satz</t>
  </si>
  <si>
    <t>nach Steuern</t>
  </si>
  <si>
    <t>des Objektes</t>
  </si>
  <si>
    <t>kumul. Tilgung</t>
  </si>
  <si>
    <t>Verlust(-)</t>
  </si>
  <si>
    <t>(1)</t>
  </si>
  <si>
    <t>(2)</t>
  </si>
  <si>
    <t>(3)</t>
  </si>
  <si>
    <t>(4)</t>
  </si>
  <si>
    <t>(5)</t>
  </si>
  <si>
    <t>(6)</t>
  </si>
  <si>
    <t>(7)</t>
  </si>
  <si>
    <t>(10)</t>
  </si>
  <si>
    <t>(11)</t>
  </si>
  <si>
    <t>(12)</t>
  </si>
  <si>
    <t>(13)</t>
  </si>
  <si>
    <t>(16)</t>
  </si>
  <si>
    <t>(17)</t>
  </si>
  <si>
    <t>(18)</t>
  </si>
  <si>
    <t>=</t>
  </si>
  <si>
    <t>(1)*(2)</t>
  </si>
  <si>
    <t>kredit</t>
  </si>
  <si>
    <t xml:space="preserve"> - Disagio</t>
  </si>
  <si>
    <t>Mieteinkünfte</t>
  </si>
  <si>
    <t>Mittelab-/zufluss</t>
  </si>
  <si>
    <t xml:space="preserve"> - Betriebskosten</t>
  </si>
  <si>
    <t xml:space="preserve"> - Zins und Tilgung</t>
  </si>
  <si>
    <t xml:space="preserve"> - Zinsen</t>
  </si>
  <si>
    <t xml:space="preserve"> + kumul. Tilgungen</t>
  </si>
  <si>
    <t xml:space="preserve"> - AfA</t>
  </si>
  <si>
    <t>Grundbuch Amt</t>
  </si>
  <si>
    <t>Grunderwerbsteuer nach Bundesländern</t>
  </si>
  <si>
    <t>Baden-Württemberg</t>
  </si>
  <si>
    <t>Bayern</t>
  </si>
  <si>
    <t>Berlin</t>
  </si>
  <si>
    <t>Brandenburg</t>
  </si>
  <si>
    <t>Bremen</t>
  </si>
  <si>
    <t>Hamburg</t>
  </si>
  <si>
    <t>Hessen</t>
  </si>
  <si>
    <t>Mecklenburg-Vorpommern</t>
  </si>
  <si>
    <t>Niedersachsen</t>
  </si>
  <si>
    <t>Nordrhein-Westfalen</t>
  </si>
  <si>
    <t>Rheinland-Pfalz</t>
  </si>
  <si>
    <t>Saarland</t>
  </si>
  <si>
    <t>Sachsen</t>
  </si>
  <si>
    <t>Sachsen-Anhalt</t>
  </si>
  <si>
    <t>Schleswig-Holstein</t>
  </si>
  <si>
    <t>Thüringen</t>
  </si>
  <si>
    <t>wird als Mietminderung in Kalkulation berücksichtigt!</t>
  </si>
  <si>
    <t>So können sich z.B. über den Betrachtungszeitraum die Steuergesetze bzw. als auch der Einkommensgrenzsteuersatz ändern.</t>
  </si>
  <si>
    <t>nachhaltige durchschn. Miete p.a.</t>
  </si>
  <si>
    <t>Durchschn. Mietausfalls-/Leerstandsrisiko</t>
  </si>
  <si>
    <t>Adresse</t>
  </si>
  <si>
    <t>Wohnfläche</t>
  </si>
  <si>
    <t xml:space="preserve"> Jahre</t>
  </si>
  <si>
    <t>Restlaufzeit in Jahren</t>
  </si>
  <si>
    <t>Zinsbindung in Jahren</t>
  </si>
  <si>
    <t>Annuität 2. Kredit p.a.</t>
  </si>
  <si>
    <t>Annuität 2. Kredit p.m.</t>
  </si>
  <si>
    <t>Annuität 1. Kredit p.a.</t>
  </si>
  <si>
    <t>Annuität 1. Kredit p.m.</t>
  </si>
  <si>
    <t>für Restlaufzeit</t>
  </si>
  <si>
    <t>Parameter für vermietes Objekt</t>
  </si>
  <si>
    <t xml:space="preserve"> p.a.</t>
  </si>
  <si>
    <t>Anfangskredit</t>
  </si>
  <si>
    <t>Zinsbindung endet im Jahr</t>
  </si>
  <si>
    <t xml:space="preserve"> Grundstücksanteil am Kaufpreis</t>
  </si>
  <si>
    <t>Unterhaltskostensteigerung p.a.</t>
  </si>
  <si>
    <t xml:space="preserve">entspricht Effektivzins ca. </t>
  </si>
  <si>
    <t>nachhaltiger</t>
  </si>
  <si>
    <t>Restschuld am Jahresende</t>
  </si>
  <si>
    <t>Restschuld am Jahreanfang</t>
  </si>
  <si>
    <t>Tilgung p.a.</t>
  </si>
  <si>
    <t>Kumul. Tilgung</t>
  </si>
  <si>
    <t>Darlehen</t>
  </si>
  <si>
    <t>Annuität / Kapitaldienst p.a.</t>
  </si>
  <si>
    <t xml:space="preserve"> Miete reduziert um Leerstandsrisko</t>
  </si>
  <si>
    <t>Miete pro Jahr</t>
  </si>
  <si>
    <t xml:space="preserve">Keine Gewähr für die Richtigkeit der Angaben. Dieses Tool ersetzt keine fundierte Rechts-, Steuer- oder Finanzberatung. </t>
  </si>
  <si>
    <t>Mittelfuss-Entwicklung</t>
  </si>
  <si>
    <t>Zinsen p.a.</t>
  </si>
  <si>
    <t>Nach-Steuer-Belastung einer vermieteten, kredit-finanzierten Immobilie!</t>
  </si>
  <si>
    <t xml:space="preserve">Grundstück </t>
  </si>
  <si>
    <t xml:space="preserve"> unter Berücksichtigung des Mietausfallsrisikos und der Instandhaltung</t>
  </si>
  <si>
    <t>Asset-Wert-Entwicklung</t>
  </si>
  <si>
    <t>- Instandhaltung</t>
  </si>
  <si>
    <t>- Gesamtinvestition</t>
  </si>
  <si>
    <t>Objekt und Größe</t>
  </si>
  <si>
    <t>pro m² Gund</t>
  </si>
  <si>
    <t xml:space="preserve">Objekt </t>
  </si>
  <si>
    <t xml:space="preserve">   Investitionsvolumen (ohne Disagio)</t>
  </si>
  <si>
    <t xml:space="preserve">    geschätzt bitte anpassen!</t>
  </si>
  <si>
    <t xml:space="preserve">  Bitte Annahme treffen!</t>
  </si>
  <si>
    <t xml:space="preserve"> geschätzt, muss beim Notar erfragt werden!</t>
  </si>
  <si>
    <t>https://www.jeder-kann-immobilien.de/immobilien-rendite-berechnen/</t>
  </si>
  <si>
    <t>https://www.opportunityfinder.de/index.php/2017/11/26/immobilien-rendite-berechnen-excel-kostenlos/</t>
  </si>
  <si>
    <t>https://ratgeber.immowelt.de/a/steuern-sparen-mit-immobilien-afa-nutzen.html</t>
  </si>
  <si>
    <t>Weitere Informationen zur Finanzierung von Immobilien finden sich:</t>
  </si>
  <si>
    <t>Musterstraße 123, 45678 Irgendwo</t>
  </si>
  <si>
    <t>Deutschland</t>
  </si>
  <si>
    <t>Baden-Wuerttemberg</t>
  </si>
  <si>
    <t>3,57 bis 5,95</t>
  </si>
  <si>
    <t xml:space="preserve">  in %</t>
  </si>
  <si>
    <t xml:space="preserve"> Durchschn.</t>
  </si>
  <si>
    <t xml:space="preserve"> auf Kaufpreis (unterschiedlich je Bundesland)</t>
  </si>
  <si>
    <t>Was bringt eine vermietete Immobilie?</t>
  </si>
  <si>
    <t>Das Rechenmodell wurde erstellt von:
Dr. Klaus F. Odenwälder</t>
  </si>
  <si>
    <t xml:space="preserve"> - eingebrachtes Eigenkapital</t>
  </si>
  <si>
    <t xml:space="preserve"> - Restschuld aus Darlehn zum jeweiligen Zeitpunkt</t>
  </si>
  <si>
    <t xml:space="preserve"> - kumul. Tilgung bis zum jeweiligen Zeitpunkt</t>
  </si>
  <si>
    <t>Die Nebenserwerbskosten, wie Makler, Grundsteuer, etc, die am Anfang anfallen,</t>
  </si>
  <si>
    <t>Warum ist der Vermögenszuwachs am Anfang oft negativ?</t>
  </si>
  <si>
    <t>ist die  Summe aus kumulierter Tilgung und der Differenz aus (Verkaufserlös - Restschuld)</t>
  </si>
  <si>
    <t xml:space="preserve">  Parameter für Verkaufswertermittlung </t>
  </si>
  <si>
    <t>Preissteigerung von Baukosten p.a.</t>
  </si>
  <si>
    <t xml:space="preserve">  Altersabschlag = Parameter für Verkaufswertermittlung</t>
  </si>
  <si>
    <r>
      <rPr>
        <b/>
        <sz val="10"/>
        <rFont val="Arial"/>
        <family val="2"/>
      </rPr>
      <t>Hypothetischer Vermögenszuwachs</t>
    </r>
    <r>
      <rPr>
        <sz val="10"/>
        <rFont val="Arial"/>
        <family val="2"/>
      </rPr>
      <t xml:space="preserve"> errechnet sich aus:</t>
    </r>
  </si>
  <si>
    <t xml:space="preserve">meist kleiner als die Summe der Erwerbsnebenkosten. </t>
  </si>
  <si>
    <t>erhöhen das Kreditvolumen. Bei einem Verkauf einer Immobilie in den Anfangsjahren</t>
  </si>
  <si>
    <t>Verkaufspreis</t>
  </si>
  <si>
    <t>minus</t>
  </si>
  <si>
    <t xml:space="preserve"> - laufende Kosten (Instandh. &amp; Rücklagen)</t>
  </si>
  <si>
    <t xml:space="preserve"> - Erwerbsnebenkosten (am Anfang)</t>
  </si>
  <si>
    <t xml:space="preserve"> + Steuerersparnis (wenn relevant)</t>
  </si>
  <si>
    <t xml:space="preserve"> + Miete</t>
  </si>
  <si>
    <t>änderung</t>
  </si>
  <si>
    <t xml:space="preserve"> - Steuerzahlung bzw.</t>
  </si>
  <si>
    <t>http://www.faz.net/aktuell/finanzen/meine-finanzen/vermoegensfragen/die-vermoegensfrage-was-werfen-immobilien-eigentlich-genau-ab-13162634.html</t>
  </si>
  <si>
    <t>vgl. Bodenrichtwert</t>
  </si>
  <si>
    <t xml:space="preserve"> geschätzt, kann variieren</t>
  </si>
  <si>
    <t xml:space="preserve">    Annahme, bitte anpassen!</t>
  </si>
  <si>
    <t>Nutz- u.Wohnfläche</t>
  </si>
  <si>
    <t>Gesamtinvestition</t>
  </si>
  <si>
    <t>Nutz- u.</t>
  </si>
  <si>
    <t>Anzahl Quadratmeter Nutz- u. Wohnfläche</t>
  </si>
  <si>
    <t xml:space="preserve"> Preis für Nutz- u. Wohnraum pro m² (mit Grundst. gerechnet)</t>
  </si>
  <si>
    <t>Bewirtschtungs-/Unterhaltskosten 
incl. Instandhaltungsrücklage p.a.</t>
  </si>
  <si>
    <r>
      <t>Die "</t>
    </r>
    <r>
      <rPr>
        <b/>
        <sz val="10"/>
        <rFont val="Arial"/>
        <family val="2"/>
      </rPr>
      <t>Vermögensänderung</t>
    </r>
    <r>
      <rPr>
        <sz val="10"/>
        <rFont val="Arial"/>
        <family val="2"/>
      </rPr>
      <t xml:space="preserve">"  errechnet sich aus dem Mittelzu-  und </t>
    </r>
  </si>
  <si>
    <t xml:space="preserve"> + geschätzter Verkaufspreis zum jeweiligen Zeitpunkt</t>
  </si>
  <si>
    <t xml:space="preserve"> vor Steuer</t>
  </si>
  <si>
    <t>https://immobilien.sparkasse.de/immobilienrechner/baukostenrechner.html</t>
  </si>
  <si>
    <t>https://www.finanztip.de/baufinanzierung/immobilie-kapitalanlage/</t>
  </si>
  <si>
    <t>nachh. Mietrendite p.a.</t>
  </si>
  <si>
    <t xml:space="preserve"> Miete p.a. in Prozent des Investitionsvolumens</t>
  </si>
  <si>
    <t>Investition als Vielfaches der Jahresmiete</t>
  </si>
  <si>
    <t>Instandsetzung am Anfang</t>
  </si>
  <si>
    <t>Instandhaltungsrücklage p.a</t>
  </si>
  <si>
    <t>lfd. Reparturen und Instandhaltung p.a.</t>
  </si>
  <si>
    <r>
      <t xml:space="preserve">   Das </t>
    </r>
    <r>
      <rPr>
        <b/>
        <sz val="11"/>
        <rFont val="Verdana"/>
        <family val="2"/>
      </rPr>
      <t>Fitting up erhöht den Gebäudewert</t>
    </r>
    <r>
      <rPr>
        <sz val="11"/>
        <rFont val="Verdana"/>
        <family val="2"/>
      </rPr>
      <t xml:space="preserve"> und wird über die Abschreibungsdauer abgeschrieben.</t>
    </r>
  </si>
  <si>
    <t>Mietpreis für Wohn-Nutzfläche pro m²</t>
  </si>
  <si>
    <t>Fitting up (erhöht den Gebäudewert)</t>
  </si>
  <si>
    <t xml:space="preserve"> Nicht an Mieter weiterbelastare Kosten!</t>
  </si>
  <si>
    <t>Hausverwaltung, Hausmeister, etc.  p.a.</t>
  </si>
  <si>
    <t xml:space="preserve">An Mieter umlegbare / weiterbelastare Kosten!   n/a </t>
  </si>
  <si>
    <r>
      <t xml:space="preserve">Diese </t>
    </r>
    <r>
      <rPr>
        <b/>
        <sz val="12"/>
        <rFont val="Verdana"/>
        <family val="2"/>
      </rPr>
      <t xml:space="preserve">Excel-Kalkulation </t>
    </r>
    <r>
      <rPr>
        <sz val="12"/>
        <rFont val="Verdana"/>
        <family val="2"/>
      </rPr>
      <t>wird kostenfrei ohne Haftungs- und Gewährleistungsansprüche überlassen.</t>
    </r>
  </si>
  <si>
    <t>Es wird keine Gewährleistung und Haftung für die Richtigkeit der Kalkulationen übernommen.</t>
  </si>
  <si>
    <t>Das Kalkulationsmodell beschränkt sich auf einen maximalen Zeithorizont von 30 Jahren.</t>
  </si>
  <si>
    <t>Dieses Tool ersetzt keine fundierte Rechts-, Steuer- oder Finanzberatung.</t>
  </si>
  <si>
    <t>Dieses Tool stellt ein Nebenprodukt meiner Tätigkeit in meinen Private Office dar und wurde nicht entwickelt, um es als Produkt zu vermarkten.</t>
  </si>
  <si>
    <t>Feedback und Anregungen senden Sie bitte an:</t>
  </si>
  <si>
    <t xml:space="preserve">wie die Belastung aussehen könnte, wenn alle die gesetzten Annahmen und Parameter so eintreffen bzw. Bestand haben würden._x000D_
</t>
  </si>
  <si>
    <t xml:space="preserve">	Es handelt sich um eine Modellrechnung (Szenario-Rechnung) und keine Prognose. Das bedeutet, da Ergebnis  zeigt lediglich,</t>
  </si>
  <si>
    <t>Modellrechnung</t>
  </si>
  <si>
    <t xml:space="preserve"> Bleiben außen vor, da diese Kosten nicht selbst sondern vom Mieter getragen werden!</t>
  </si>
  <si>
    <r>
      <rPr>
        <sz val="12"/>
        <color indexed="8"/>
        <rFont val="Calibri"/>
        <family val="2"/>
      </rPr>
      <t>●</t>
    </r>
    <r>
      <rPr>
        <sz val="12"/>
        <color indexed="8"/>
        <rFont val="Verdana"/>
        <family val="2"/>
      </rPr>
      <t xml:space="preserve">  Im Lauf der Zeit ändert sich Ihr Einkommen und damit Ihr Grenzsteuersatz,</t>
    </r>
  </si>
  <si>
    <t xml:space="preserve">   z. B. durch Scheidung,  Arbeitslosigkeit oder Karriere.</t>
  </si>
  <si>
    <t>●  Das Kalkulations-Modell unterstellt aber einen konstanten Grenzsteuersatz!</t>
  </si>
  <si>
    <t>●  Eine Steuerreform als auch Ihre Einkommshöhe kann irgendwann einmal Ihren Grenzsteuersatz beeinflussen.</t>
  </si>
  <si>
    <t>●  Die Zinshöhe für die Wiedereindeckung mit Krediten, kann nur geschätzt werden; ist als nicht sicher!</t>
  </si>
  <si>
    <t>●  Mieterhöhung erfolgen nicht kontinuierlich, wie in der Modellrecchnung unterstellt.</t>
  </si>
  <si>
    <t>●  Die unterstellten Mietpreissteigerung treffen wahrscheinlich auch nicht so ein.</t>
  </si>
  <si>
    <t>●  Auch Unterhaltskosten sind nicht exakt vorhersagbar.</t>
  </si>
  <si>
    <t>●  Der Einfluss, den die Bevölkerungs- und Wirtschaftsentwicklung auf die Immobilienpreis ausübt,</t>
  </si>
  <si>
    <t xml:space="preserve">   bleibt in dieser Modellrechnung unberücksichtigt!</t>
  </si>
  <si>
    <t>●   usw.</t>
  </si>
  <si>
    <t>eintreffen und zwar aus u.a. folgenden Gründen:</t>
  </si>
  <si>
    <t xml:space="preserve">Dieses Tool ersetzt keine fundierte Rechts-, Steuer- oder Finanzberatung. </t>
  </si>
  <si>
    <t xml:space="preserve">Keine Gewähr für die Richtigkeit der Angaben. </t>
  </si>
  <si>
    <t xml:space="preserve">Mit dem Modell läßt sich veranschaulichen, was für eine Auswirkung unterschiedliche Annahmen </t>
  </si>
  <si>
    <t>und Parameter-Ausprägungen bedeuten können.</t>
  </si>
  <si>
    <t>Mietausfälle bzw. Leerstandskosten ereignen sich sproadisch und nicht kontinuierlich, wie in der Modellrechnung unterstellt.</t>
  </si>
  <si>
    <t>Deshalb sind diese Planzahlen nur Orientierungsgrößen und müssen immer wieder überprüft und angepasst werden!</t>
  </si>
  <si>
    <t>Achtung:</t>
  </si>
  <si>
    <t>Änderung der Maklerprovisionen in 2021 erwartet!</t>
  </si>
  <si>
    <t>Maklerprovision</t>
  </si>
  <si>
    <t>Unterhalts-</t>
  </si>
  <si>
    <t>↑</t>
  </si>
  <si>
    <t>(-) = Mittelabfluß / Aufwand</t>
  </si>
  <si>
    <t>(+) = Mittelzufluß / Einnahme</t>
  </si>
  <si>
    <t>Beachte:</t>
  </si>
  <si>
    <t xml:space="preserve"> (+) = Ersparnis</t>
  </si>
  <si>
    <t xml:space="preserve"> (-) = Zahlung</t>
  </si>
  <si>
    <t xml:space="preserve">Achtung: </t>
  </si>
  <si>
    <t xml:space="preserve"> Mittelabfluss =(-)</t>
  </si>
  <si>
    <t xml:space="preserve"> deshalb in </t>
  </si>
  <si>
    <t xml:space="preserve"> Formeln</t>
  </si>
  <si>
    <t xml:space="preserve"> Pluszeichen </t>
  </si>
  <si>
    <t>vor Steuern plus</t>
  </si>
  <si>
    <t>5 Jahre</t>
  </si>
  <si>
    <t>10 Jahre</t>
  </si>
  <si>
    <t>15 Jahre</t>
  </si>
  <si>
    <t>20 Jahre</t>
  </si>
  <si>
    <t>25 Jahre</t>
  </si>
  <si>
    <t>=  Verkehrs-/Verkaufswert</t>
  </si>
  <si>
    <t>Version</t>
  </si>
  <si>
    <t>Changes</t>
  </si>
  <si>
    <t xml:space="preserve">by </t>
  </si>
  <si>
    <t>Date</t>
  </si>
  <si>
    <t>Filename</t>
  </si>
  <si>
    <t>Klaus F. Odenwälder</t>
  </si>
  <si>
    <t>30 Jahre</t>
  </si>
  <si>
    <t>Verkauf</t>
  </si>
  <si>
    <t>aus dem Uberschuss</t>
  </si>
  <si>
    <t>bei hypothetischem</t>
  </si>
  <si>
    <t>im jeweiligen Jahr</t>
  </si>
  <si>
    <t>nach</t>
  </si>
  <si>
    <t>Eigen-</t>
  </si>
  <si>
    <t>kapital (EK)</t>
  </si>
  <si>
    <t>Hypothetische</t>
  </si>
  <si>
    <t>zuwachs aus</t>
  </si>
  <si>
    <t>Tilgung und</t>
  </si>
  <si>
    <t>kumu. Cash Flow</t>
  </si>
  <si>
    <t>über</t>
  </si>
  <si>
    <t>Verkaufswert der Immobilie (Jahresanfang)</t>
  </si>
  <si>
    <t>Hypoth. Mittel-Überschuss bei Verkauf</t>
  </si>
  <si>
    <t xml:space="preserve">Vermögen aus Tilgung + kumul. Cash Flow </t>
  </si>
  <si>
    <t>Objektes</t>
  </si>
  <si>
    <t>Einnahmen - Ausgaben p.a. nach Steuer</t>
  </si>
  <si>
    <t>Kumul. Einnahmen - Ausgaben nach Steuer</t>
  </si>
  <si>
    <t>Mittel-Überschuss bei hypoth. Verkauf</t>
  </si>
  <si>
    <t>Hier wird kein Überschuss oder Verlust aus einem</t>
  </si>
  <si>
    <t>hypothetischen Verkauf der Immobilie berücksichtigt!</t>
  </si>
  <si>
    <t xml:space="preserve">Asset-Status (Verkaufswert - Restschuld) </t>
  </si>
  <si>
    <t>Darlehns-</t>
  </si>
  <si>
    <t>zum Jahresanfang</t>
  </si>
  <si>
    <t xml:space="preserve"> wie folgt:</t>
  </si>
  <si>
    <t xml:space="preserve"> - Zinsen  (oder Annuität - Tilgung)</t>
  </si>
  <si>
    <t>berüchsichtigt</t>
  </si>
  <si>
    <t>Gebäudekosten-</t>
  </si>
  <si>
    <t>Altersabschlag</t>
  </si>
  <si>
    <t xml:space="preserve"> Mittelabfluss (Cash Flow), der die Annunität (=Zins + Tilgung) enthält, reduziert um die Tilgung,</t>
  </si>
  <si>
    <t>Instandhaltung</t>
  </si>
  <si>
    <t>Rücklagen u.</t>
  </si>
  <si>
    <t>Marktwert</t>
  </si>
  <si>
    <t>Grundstück</t>
  </si>
  <si>
    <t>- kumul. Mittelabfüsse</t>
  </si>
  <si>
    <t>+ kumul. Mittelzuflüsse</t>
  </si>
  <si>
    <t>Überschuss in %</t>
  </si>
  <si>
    <t xml:space="preserve">bei Verkauf </t>
  </si>
  <si>
    <t xml:space="preserve">Überschuss in % </t>
  </si>
  <si>
    <t>bei Verkauf zu</t>
  </si>
  <si>
    <t>da  -(+) = (-)</t>
  </si>
  <si>
    <t>und</t>
  </si>
  <si>
    <t>und  -(-) = (+)</t>
  </si>
  <si>
    <t>(Baukosten-</t>
  </si>
  <si>
    <t xml:space="preserve"> Inflation)</t>
  </si>
  <si>
    <t xml:space="preserve">zum </t>
  </si>
  <si>
    <t>Jahresanfang</t>
  </si>
  <si>
    <t>Inflation</t>
  </si>
  <si>
    <t>auf Grund-</t>
  </si>
  <si>
    <t>stückspreise</t>
  </si>
  <si>
    <t>Anfangs-</t>
  </si>
  <si>
    <t>No.</t>
  </si>
  <si>
    <t>enthält keine</t>
  </si>
  <si>
    <t>anteilige</t>
  </si>
  <si>
    <t>Nebenerwerbs-</t>
  </si>
  <si>
    <t>kosten</t>
  </si>
  <si>
    <t>für Gebäude;</t>
  </si>
  <si>
    <t xml:space="preserve">ab / im </t>
  </si>
  <si>
    <t>Asset-Werte: Immobilie, Darlehen, möglicher Überschuss aus Verkauf im Zeitverlauf</t>
  </si>
  <si>
    <r>
      <rPr>
        <b/>
        <sz val="11"/>
        <rFont val="Verdana"/>
        <family val="2"/>
      </rPr>
      <t>AfA Basis</t>
    </r>
    <r>
      <rPr>
        <sz val="11"/>
        <rFont val="Verdana"/>
        <family val="2"/>
      </rPr>
      <t xml:space="preserve"> (Gebäudewert + anteilige ENK)</t>
    </r>
  </si>
  <si>
    <t xml:space="preserve"> = Gebäudewert bei Kauf  + Fittiing up + anteilige Erwerbsnebenkosten (ENK)</t>
  </si>
  <si>
    <t>Steuerzahlung</t>
  </si>
  <si>
    <t xml:space="preserve">  -zuwachs</t>
  </si>
  <si>
    <t>aus Vermietung</t>
  </si>
  <si>
    <t xml:space="preserve">durchschn. jährliche </t>
  </si>
  <si>
    <t>Tilgung =</t>
  </si>
  <si>
    <r>
      <t xml:space="preserve">Gebäude-Abschreibung </t>
    </r>
    <r>
      <rPr>
        <sz val="11"/>
        <color theme="0"/>
        <rFont val="Verdana"/>
        <family val="2"/>
      </rPr>
      <t xml:space="preserve">über </t>
    </r>
  </si>
  <si>
    <t>Gewinn- u. Verlust aus Vermietung</t>
  </si>
  <si>
    <t xml:space="preserve"> CASH FLOW  Entwicklung</t>
  </si>
  <si>
    <t>A S S E T    Entwicklung</t>
  </si>
  <si>
    <t xml:space="preserve">Rendite n. Steuer </t>
  </si>
  <si>
    <t xml:space="preserve">in % aus dem </t>
  </si>
  <si>
    <t>einem Verkauf</t>
  </si>
  <si>
    <t xml:space="preserve">EK Rendite n. Steuer </t>
  </si>
  <si>
    <t>im Verhältnis</t>
  </si>
  <si>
    <t>zum Eigenkapital</t>
  </si>
  <si>
    <t xml:space="preserve">(EK) bei einem </t>
  </si>
  <si>
    <t>in % durch</t>
  </si>
  <si>
    <t>Verkauf bezogen</t>
  </si>
  <si>
    <t>auf Investment</t>
  </si>
  <si>
    <t>in % durch Über-</t>
  </si>
  <si>
    <t>schuss bei einem</t>
  </si>
  <si>
    <t>auf Eigenkapital</t>
  </si>
  <si>
    <t>vom</t>
  </si>
  <si>
    <t>Wertzuwachs des Grundstücks p.a.</t>
  </si>
  <si>
    <t>R E N D I T E   Betrachtung</t>
  </si>
  <si>
    <t>geschätzter</t>
  </si>
  <si>
    <t xml:space="preserve"> Gebäudeanteil am Kaufpreis; dient zum Verrechnen der anteiligen Erwerbsnebenkosten</t>
  </si>
  <si>
    <t>Gewinn- und Verlust-Rechung sowie Cash-Flow-Betrachtung für eine vermietete Immobilie</t>
  </si>
  <si>
    <t>Stand 2020</t>
  </si>
  <si>
    <t>/ m² p.a.</t>
  </si>
  <si>
    <t>/ m² p.a. geschätzt ! Bitte anpassen!</t>
  </si>
  <si>
    <t xml:space="preserve"> - Betriebs- und</t>
  </si>
  <si>
    <t xml:space="preserve"> - Unterhaltskosten</t>
  </si>
  <si>
    <t>Bonitäts-</t>
  </si>
  <si>
    <t>Status</t>
  </si>
  <si>
    <t>Bonitäts-Status</t>
  </si>
  <si>
    <t>dividiert durch</t>
  </si>
  <si>
    <r>
      <t xml:space="preserve">   Die </t>
    </r>
    <r>
      <rPr>
        <b/>
        <sz val="11"/>
        <rFont val="Verdana"/>
        <family val="2"/>
      </rPr>
      <t>Instandsetzungskosten</t>
    </r>
    <r>
      <rPr>
        <sz val="11"/>
        <rFont val="Verdana"/>
        <family val="2"/>
      </rPr>
      <t xml:space="preserve"> (z.B. Reparaturen) werden im Jahr des Kaufs steuerlich angesetzt!</t>
    </r>
  </si>
  <si>
    <t>Steuerzahlung (-)</t>
  </si>
  <si>
    <t>bzw. Steuerersparnis (+)</t>
  </si>
  <si>
    <t>versus</t>
  </si>
  <si>
    <t>zuwachs</t>
  </si>
  <si>
    <t>Cash-Aufwand</t>
  </si>
  <si>
    <t xml:space="preserve">Cash-Aufwand </t>
  </si>
  <si>
    <r>
      <t xml:space="preserve">Die </t>
    </r>
    <r>
      <rPr>
        <b/>
        <sz val="14"/>
        <color indexed="8"/>
        <rFont val="Verdana"/>
        <family val="2"/>
      </rPr>
      <t>aktuelle Version</t>
    </r>
    <r>
      <rPr>
        <sz val="14"/>
        <color indexed="8"/>
        <rFont val="Verdana"/>
        <family val="2"/>
      </rPr>
      <t xml:space="preserve"> dieses Files gibt es </t>
    </r>
    <r>
      <rPr>
        <b/>
        <sz val="14"/>
        <color indexed="8"/>
        <rFont val="Verdana"/>
        <family val="2"/>
      </rPr>
      <t xml:space="preserve">zum Downloaden </t>
    </r>
    <r>
      <rPr>
        <sz val="14"/>
        <color indexed="8"/>
        <rFont val="Verdana"/>
        <family val="2"/>
      </rPr>
      <t>auf dem Controlling-Portal.de !</t>
    </r>
  </si>
  <si>
    <t>Cash Flow</t>
  </si>
  <si>
    <t>Parameter für Rendite-Vergleiche</t>
  </si>
  <si>
    <t>Rendite p.a. nominal nach Steuer
bei o.g. (Grenz-)Steuersatz</t>
  </si>
  <si>
    <t>Vermögenszuwachs</t>
  </si>
  <si>
    <t>kumulierter</t>
  </si>
  <si>
    <t>kumul. Cash Flow</t>
  </si>
  <si>
    <t>angelegt u. verzinst</t>
  </si>
  <si>
    <t>Tilgung und kumul.</t>
  </si>
  <si>
    <t>verzinst</t>
  </si>
  <si>
    <t>mit Rendite von</t>
  </si>
  <si>
    <t xml:space="preserve"> unverzinsten </t>
  </si>
  <si>
    <t xml:space="preserve">Cash Flow </t>
  </si>
  <si>
    <t>plus</t>
  </si>
  <si>
    <t>Gründung Immobilien Gesellschaft</t>
  </si>
  <si>
    <t>Die degressive AfA (Absetzung für Abnutzung) im Überblick</t>
  </si>
  <si>
    <t>Die degressive Abschreibung gilt ausschließlich für neu gebaute bzw. im Jahr der Fertigstellung erworbene Wohngebäude und Wohnungen.</t>
  </si>
  <si>
    <t>Im ersten Jahr können fünf Prozent der Investitionskosten steuerlich geltend gemacht werden. In den folgenden Jahren können jeweils fünf Prozent des Restwertes steuerlich geltend gemacht werden.</t>
  </si>
  <si>
    <t>Ein Wechsel zur linearen AfA ist möglich.</t>
  </si>
  <si>
    <t>Der Baubeginn des Wohngebäudes muss zwischen dem 1. Oktober 2023 und dem 30. September 2029 (6-Jahres Zeitraum) liegen.</t>
  </si>
  <si>
    <t>Erstmals ist nicht der Bauantrag entscheidendes Kriterium für die Gewährung der degressiven AfA, sondern der angezeigte Baubeginn. So wollen wir auch die Umsetzung von Projekten anreizen, die zwar schon geplant, aber aus unterschiedlichen Gründen – z. B. Probleme bei der Finanzierung – noch nicht begonnen wurden. Damit soll auch der Bauüberhang von mehr als 800.000 genehmigten Wohnungen abgebaut werden.</t>
  </si>
  <si>
    <t>Beim Erwerb einer Immobilie muss der Vertrag zwischen dem 1. Oktober 2023 und dem 30. September 2029 rechtswirksam geschlossen werden. Die Immobilie muss bis zum Ende des Jahres der Fertigstellung erworben werden.</t>
  </si>
  <si>
    <t>Die degressive AfA kann zudem mit der Sonderabschreibung für den Mietwohnungsneubau kombiniert werden. Begünstigt werden dabei Neubauten, mit dem energetischen Gebäudestandard EH40/QNG, die eine Baukostenobergrenze von 5.200 Euro pro m² einhalten.</t>
  </si>
  <si>
    <t>Die Bedingungen für die genannte Sonderabschreibung für den Mietwohnungsneubau wurden mit dem Wachstumschancengesetz nochmal verbessert: Der Anwendungszeitraum für Neufälle wurde bis Ende September 2029 verlängert, die Baukostenobergrenze von 4.800 Euro pro m² auf 5.200 Euro pro m² und die begünstigten Herstellungs-/Anschaffungskosten von 2.500 Euro pro m² auf 4.000 Euro pro m² erhöht.</t>
  </si>
  <si>
    <t>https://www.bmwsb.bund.de/SharedDocs/kurzmeldungen/Webs/BMWSB/DE/2024/03/degressive-afa.html</t>
  </si>
  <si>
    <t xml:space="preserve">Quelle:   </t>
  </si>
  <si>
    <t>Beispielrechnung</t>
  </si>
  <si>
    <t>Bei 400.000 Euro Investitionskosten kann der Investor im ersten Jahr 20.000 Euro (5 Prozent von 400.000 Euro) steuerlich abschreiben, im zweiten Jahr sind dann 19.000 Euro abschrei-bungsfähig (400.000 Euro abzüglich der 20.000 Euro vom ersten Jahr = 380.000 Euro Restwert). Innerhalb von sechs Jahren nach Fertigstellung/Erwerb der Immobilie kann der Investor so rund 106.000 Euro steuerlich geltend machen (d.h. auf diesen Betrag müssen keine Steuern entrichtet werden).</t>
  </si>
  <si>
    <t>Lineare AfA: Drei statt zwei Prozent ab dem 1.1.2023</t>
  </si>
  <si>
    <t>§ 7 Abs. 4 Satz 1 Nr. 2 EStG: Die lineare Absetzung für Abnutzung (lineare AfA) wurde zum 1.1.2023 von zwei auf drei Prozent pro Jahr angehoben. Darauf hatten sich die Ampel-Parteien bereits im Koalitionsvertrag verständigt.</t>
  </si>
  <si>
    <t>Die aus dem Ansatz des höheren pauschalen AfA-Satzes resultierende kürzere Abschreibungsdauer von 33 Jahren hat aber keinen Einfluss auf die Beurteilung der tatsächlichen Nutzungsdauer von Wohngebäuden. Diese wird regelmäßig auch mehr als 50 Jahre betragen.</t>
  </si>
  <si>
    <t>Die Maßnahme gilt für ab dem 1.1.2023 fertiggestellte Wohngebäude (Regierungsentwurf: 30.6.2023).</t>
  </si>
  <si>
    <t>https://www.haufe.de/immobilien/wirtschaft-politik/abschreibung-beim-mietwohnungsbau_84342_572146.html</t>
  </si>
  <si>
    <t>der Restnutzungsdauer</t>
  </si>
  <si>
    <t>AfA: Linear oder Degressiv-Linear?</t>
  </si>
  <si>
    <t>Linear 2 % p.a.</t>
  </si>
  <si>
    <t>Linear 3 % p.a.</t>
  </si>
  <si>
    <t>bei Gewerbeimmobilien bleibt es bei Linear 2 % p.a.</t>
  </si>
  <si>
    <t>AfA Varianten für Wohnimmobilen</t>
  </si>
  <si>
    <t>Jahres</t>
  </si>
  <si>
    <t>Version vom</t>
  </si>
  <si>
    <t>https://prozentguru.de/gebaeude-afa-3-prozent/</t>
  </si>
  <si>
    <t>Sonder-</t>
  </si>
  <si>
    <t>p.a. in €</t>
  </si>
  <si>
    <t>(8)</t>
  </si>
  <si>
    <t xml:space="preserve"> (9)</t>
  </si>
  <si>
    <t>Sonder-AFA</t>
  </si>
  <si>
    <t xml:space="preserve">auf </t>
  </si>
  <si>
    <t>AfA auf</t>
  </si>
  <si>
    <t>in Euro</t>
  </si>
  <si>
    <t>insgesamt</t>
  </si>
  <si>
    <t>AfA p.a.</t>
  </si>
  <si>
    <t>auf</t>
  </si>
  <si>
    <t>bzw.</t>
  </si>
  <si>
    <t>AfA Varianten</t>
  </si>
  <si>
    <t>abhängig von der Restnutzungsdauer</t>
  </si>
  <si>
    <t>Degressiv 5% u. Linear 3%</t>
  </si>
  <si>
    <t>Degressiv 5% u. Linear 2%</t>
  </si>
  <si>
    <t>Linear 3%</t>
  </si>
  <si>
    <t>Linear 2%</t>
  </si>
  <si>
    <t>Linear x%</t>
  </si>
  <si>
    <t xml:space="preserve">Dieser </t>
  </si>
  <si>
    <t>Bereich kann</t>
  </si>
  <si>
    <t>überschrieben</t>
  </si>
  <si>
    <t>werden mit</t>
  </si>
  <si>
    <t>den relevanten</t>
  </si>
  <si>
    <t>AfA % Sätzen</t>
  </si>
  <si>
    <t>AfA Spezial</t>
  </si>
  <si>
    <t xml:space="preserve">  50 Jahre lang 2 % p.a.</t>
  </si>
  <si>
    <t xml:space="preserve">  33,3 Jahre lang 3% p.a.</t>
  </si>
  <si>
    <t xml:space="preserve">  6 Jahre lang 5 %, danach 2% p.a.</t>
  </si>
  <si>
    <t xml:space="preserve">  6 Jahre lang 5 %, danach 3% p,a,</t>
  </si>
  <si>
    <t>manuell eingeben</t>
  </si>
  <si>
    <t xml:space="preserve">   bildung bzw.</t>
  </si>
  <si>
    <t>Buchwert</t>
  </si>
  <si>
    <t>des Gebäudes</t>
  </si>
  <si>
    <t xml:space="preserve">am Ende des </t>
  </si>
  <si>
    <t>/ Linear x%</t>
  </si>
  <si>
    <t xml:space="preserve">Der angezeigte </t>
  </si>
  <si>
    <t xml:space="preserve"> %-Satz reflektiert</t>
  </si>
  <si>
    <t>die AfA über die</t>
  </si>
  <si>
    <t>falls diese &lt;50 Jahre</t>
  </si>
  <si>
    <t>AfA Varianten auf Gebäude über den Zeitverlauf</t>
  </si>
  <si>
    <t>siehe auch:</t>
  </si>
  <si>
    <t>Restnutzungsdauer</t>
  </si>
  <si>
    <t>(19)</t>
  </si>
  <si>
    <t>(20)</t>
  </si>
  <si>
    <t>(21)</t>
  </si>
  <si>
    <t>(22)</t>
  </si>
  <si>
    <t>(23)</t>
  </si>
  <si>
    <t xml:space="preserve"> Formeln mit</t>
  </si>
  <si>
    <r>
      <rPr>
        <b/>
        <sz val="11"/>
        <rFont val="Verdana"/>
        <family val="2"/>
      </rPr>
      <t>Sondertilgungen und Sonderabschreibungen</t>
    </r>
    <r>
      <rPr>
        <sz val="11"/>
        <rFont val="Verdana"/>
        <family val="2"/>
      </rPr>
      <t xml:space="preserve"> sind in der Tabelle "Cash &amp; Assets" manuell einzugeben!</t>
    </r>
  </si>
  <si>
    <t>Wähle die Art der AfA in der Tabelle "Parameter" durch Klicken auf die Lasche aus der Dropdown-Liste aus!  (siehe Abb.)</t>
  </si>
  <si>
    <t>tilgungen</t>
  </si>
  <si>
    <t>incl. Sonder-</t>
  </si>
  <si>
    <t>aber kein Mittelabfluss</t>
  </si>
  <si>
    <t>für Gewinn-/Verlustrechnung</t>
  </si>
  <si>
    <t>insgesamt p.a.</t>
  </si>
  <si>
    <r>
      <t xml:space="preserve">  Hängt ab von Einkommen/-sentwicklung! 
  Kann über Betrachtungszeitraum schwanken!
  </t>
    </r>
    <r>
      <rPr>
        <b/>
        <sz val="11"/>
        <rFont val="Verdana"/>
        <family val="2"/>
      </rPr>
      <t>Fragen Sie dazu ihren Steuer- oder Finanzberater.</t>
    </r>
  </si>
  <si>
    <t>Degressiv  5% + Linear 3%</t>
  </si>
  <si>
    <t>Degressiv 5% + Linear 2%</t>
  </si>
  <si>
    <t>nur sinvoll</t>
  </si>
  <si>
    <t>siehe Parameter B18</t>
  </si>
  <si>
    <t>AfA ist kalkulatorischer Aufwand</t>
  </si>
  <si>
    <t xml:space="preserve"> [bei Linearer AfA]</t>
  </si>
  <si>
    <t xml:space="preserve">  (Gebäudewert aus Vorjahr)</t>
  </si>
  <si>
    <t xml:space="preserve"> [bei Degress. AfA]</t>
  </si>
  <si>
    <t>mit alternativen</t>
  </si>
  <si>
    <t>Kapitalanlagen</t>
  </si>
  <si>
    <t xml:space="preserve">für Vergleich </t>
  </si>
  <si>
    <t>Asset-Wertentwicklung</t>
  </si>
  <si>
    <t>Erwerbsnebenkosten (ENK)</t>
  </si>
  <si>
    <t xml:space="preserve">   für Vergleich mit alternativen Kapitalanlagen</t>
  </si>
  <si>
    <r>
      <t xml:space="preserve">(Grenz-)Steuersatz  </t>
    </r>
    <r>
      <rPr>
        <sz val="11"/>
        <rFont val="Verdana"/>
        <family val="2"/>
      </rPr>
      <t>siehe oben</t>
    </r>
  </si>
  <si>
    <t>Anlage-Rendite p.a. nominal vor Steuer</t>
  </si>
  <si>
    <t>Beispiel:</t>
  </si>
  <si>
    <t>Nur im ersten Jahr wird ein evtl. Disagio berücksichtigt. </t>
  </si>
  <si>
    <t xml:space="preserve">    =</t>
  </si>
  <si>
    <t xml:space="preserve"> errechnet sich wie folgt:</t>
  </si>
  <si>
    <r>
      <t xml:space="preserve">Da in dem Spalten mit einem </t>
    </r>
    <r>
      <rPr>
        <b/>
        <sz val="11"/>
        <rFont val="Calibri"/>
        <family val="2"/>
      </rPr>
      <t>Mittelabfluss als auch die AfA als negative Werte (-)</t>
    </r>
    <r>
      <rPr>
        <sz val="11"/>
        <rFont val="Calibri"/>
        <family val="2"/>
      </rPr>
      <t xml:space="preserve"> ausweisen</t>
    </r>
    <r>
      <rPr>
        <sz val="11"/>
        <color rgb="FF000000"/>
        <rFont val="Calibri"/>
        <family val="2"/>
      </rPr>
      <t xml:space="preserve"> werden</t>
    </r>
  </si>
  <si>
    <t>s</t>
  </si>
  <si>
    <t xml:space="preserve">  (Gebäude-Anschaffungswert)</t>
  </si>
  <si>
    <t xml:space="preserve">   minus  Disagio (im 1. Jahr, falls relevant)</t>
  </si>
  <si>
    <t xml:space="preserve">Das Disagio findet sich in der "Parameter-Tabelle" in Zelle: B62 </t>
  </si>
  <si>
    <t xml:space="preserve">und wird dort als positiver Wert ausgewiesen. </t>
  </si>
  <si>
    <t>  </t>
  </si>
  <si>
    <t xml:space="preserve"> n  steht für das n-te Jahr  bzw. die Zeilen-Nummer</t>
  </si>
  <si>
    <t>https://www.faz.net/aktuell/finanzen/immobilien-zuegig-abschreiben-18599959.html?GEPC=s9&amp;premium=0x7494819a022a81a9f4a3f62686ef14c0561c950eb4a44415571570d2646fe373</t>
  </si>
  <si>
    <t>Anfängl. Jähliche Tilgung in %</t>
  </si>
  <si>
    <t xml:space="preserve">  angenommene Rendite alternativer Anlagen z.B. Aktien</t>
  </si>
  <si>
    <t>https://www.baumeister-online.de/nachricht/bundesrat-stimmt-wachstumschancengesetz-zu-degressive-afa-kommt/</t>
  </si>
  <si>
    <t>Die jährliche (Anfangs-)Tilgung</t>
  </si>
  <si>
    <t xml:space="preserve">Die Tilgung in % p.a. findet sich in der Spalte K des Blatts „Cash &amp; Assets“ </t>
  </si>
  <si>
    <t xml:space="preserve">Wenn man/frau einen besonders langen Finanzierungszeitraum wählt, verringert sich die anfängliche jährliche Tilgung in Prozent. Dafür zahlt dann man/frau entsprechend länger. </t>
  </si>
  <si>
    <t>Den Zusammenhang zwischen Tilgung p.a. und Tilgungsdauer verdeutlicht nachfolgende Tabelle.</t>
  </si>
  <si>
    <t>Tilgungsdauer in Jahren</t>
  </si>
  <si>
    <t xml:space="preserve">bei einer Tilgung von x % p.a. </t>
  </si>
  <si>
    <t>und Zinsen von y % p.a.</t>
  </si>
  <si>
    <t>Annuität  =</t>
  </si>
  <si>
    <t>Zins p.a. + Tilgung p.a.</t>
  </si>
  <si>
    <t>Zins p.a.</t>
  </si>
  <si>
    <t>Man beachte:   Annuität (Höhe der regelmäßigen Zahlung für Zins und Tilgung) bleibt während der gesamten Laufzeit gleich!</t>
  </si>
  <si>
    <t xml:space="preserve">Die jährliche (Anfangs-)Tilgung kann in diesem Modell nicht explizit als Parameter eingeben werden. </t>
  </si>
  <si>
    <t>Die Höhe der Tilgung p.a. in Prozent hängt ab von der gewählten Finanzierungsdauer (Finanzierungszeitraum, siehe Blatt „Parameter“ Zelle B54).</t>
  </si>
  <si>
    <t>Bei einen Finanzierungszeitraum von 32 Jahren ergibt sich eine Tilgung von ca.  zwei Prozent p.a.</t>
  </si>
  <si>
    <t xml:space="preserve">Wählt man/frau z. B. einen Finanzierungszeitraum von 48 Jahren, dann sinkt u.U. die Tilgung p.a. auf ca. ein Prozent (siehe Abb.). </t>
  </si>
  <si>
    <t>Die Berechung der Nach-Steuer-Belastung stellt nur ein WIE-WENN-SZENARIO da.</t>
  </si>
  <si>
    <t>Ein WIE-WENN-SZENARIO stellt lediglich eine Entscheidungshilfe da.</t>
  </si>
  <si>
    <t>https://index.fmh.de/fmh-index/ueberblick/</t>
  </si>
  <si>
    <t>Info zur Zinsentwicklung:</t>
  </si>
  <si>
    <t>Wie die GmbH zur Steuerfalle wird“   von Volker Looman  FAZ  16.02.2023</t>
  </si>
  <si>
    <t>=  Verkehrswert</t>
  </si>
  <si>
    <t>https://www.test.de/Wohnung-als-Kapitalanlage-Rechner-1179772-2179772/</t>
  </si>
  <si>
    <t>Bevor Sie den Rechner benutzen, sollten Sie beachten: Das Programm kann Ihnen eine wichtige Orientierung über den möglichen Verlauf Ihrer Investition und die Rentabilität einer Immobilie geben – aber keine Sicherheit. In die Ergeb­nisse fließen zwangs­läufig unsichere Annahmen vor allem über die Miet­entwick­lung und den künftigen Verkaufs­erlös der Immobilie ein. Schon kleinere Änderungen bei den Prognose­annahmen können die Ergeb­nisse erheblich verändern. Rechnen Sie deshalb immer mehrere Szenarien durch und gehen Sie eher von vorsichtigen Annahmen aus. Rechnet sich die Immobilie nur bei hohen Miet­steigerungen in der Zukunft, handelt es sich letzt­lich um eine spekulative Anlage mit hohem Risiko.</t>
  </si>
  <si>
    <t>https://www.controllingportal.de/Marktplatz/Excel-Tools/Excel-Vorlage-zum-Evaluieren-einer-Immobilien-Investitionen.html</t>
  </si>
  <si>
    <t>Finanzierung mit "Förderkredit"</t>
  </si>
  <si>
    <t>Förderkredithöhe</t>
  </si>
  <si>
    <t>Zugesagte Höhe der Mittel</t>
  </si>
  <si>
    <t>Annuität Förderkredit p.a.</t>
  </si>
  <si>
    <t>Annuität Förderkredit p.m.</t>
  </si>
  <si>
    <t xml:space="preserve"> Investitionsvolumen 
 (ohne Disagio)</t>
  </si>
  <si>
    <t>Förderkredit von:</t>
  </si>
  <si>
    <t>Kredit endet im Jahr</t>
  </si>
  <si>
    <t>Förder-</t>
  </si>
  <si>
    <t>Tilgungs-</t>
  </si>
  <si>
    <t>Förd.kredit</t>
  </si>
  <si>
    <t>Zinsen</t>
  </si>
  <si>
    <t>Förderkredit</t>
  </si>
  <si>
    <t>Hausbank-Kredit</t>
  </si>
  <si>
    <t>https://ivd.net/bundesverband/steuerliche-vorteile-im-wohnungsbau-degressive-afa-sonderabschreibung</t>
  </si>
  <si>
    <t xml:space="preserve"> * Dauer der degressiven Abschreibung: 6 Jahre</t>
  </si>
  <si>
    <t xml:space="preserve"> * Höhe der degressiven AfA: 5 % pro Jahr</t>
  </si>
  <si>
    <t xml:space="preserve">    * Wechsel zur linearen AfA lohnt sich ab dem 7. Jahr oder wenn die lineare AfA (3 %) höher ist als die degressive AfA</t>
  </si>
  <si>
    <t>Finanzierung  über Annuitätendarlehn einer Hausbank</t>
  </si>
  <si>
    <t>Parallel zum ersten Kredit ab dem 1. Jahr</t>
  </si>
  <si>
    <t>Tilgungszuschuss p.a.</t>
  </si>
  <si>
    <t>Summe Tilgungszuschüsse</t>
  </si>
  <si>
    <t>zuschuss</t>
  </si>
  <si>
    <t>kredite</t>
  </si>
  <si>
    <t>(17)= -(16)*</t>
  </si>
  <si>
    <t>(24)</t>
  </si>
  <si>
    <t>(25)</t>
  </si>
  <si>
    <t>(4)+(Tilgung)</t>
  </si>
  <si>
    <t>(26)</t>
  </si>
  <si>
    <t>kumul. Tilgung  (12)</t>
  </si>
  <si>
    <t>(27)</t>
  </si>
  <si>
    <t>(28)</t>
  </si>
  <si>
    <t>Höhe der degressiven AfA: 5 % pro Jahr</t>
  </si>
  <si>
    <t>Dauer der degressiven Abschreibung: 6 Jahre</t>
  </si>
  <si>
    <t>Wechsel zur linearen AfA lohnt sich ab dem 7. Jahr oder wenn die lineare AfA (3 %) höher ist als die degressive AfA.</t>
  </si>
  <si>
    <t>Hier ein konkretes Rechenbeispiel für die degressive AfA im Wohnungsbau:</t>
  </si>
  <si>
    <t>Annahmen:</t>
  </si>
  <si>
    <t>Anschaffungs- oder Herstellungskosten: 400.000 €</t>
  </si>
  <si>
    <t>Baubeginn: 2025 (innerhalb des Förderzeitraums)</t>
  </si>
  <si>
    <t>Degressive AfA: 5 % pro Jahr (für 6 Jahre)</t>
  </si>
  <si>
    <t>Lineare AfA: 3 % pro Jahr (ab dem 7. Jahr oder früher, wenn günstiger)</t>
  </si>
  <si>
    <t>Hinweis:</t>
  </si>
  <si>
    <t>Ab dem 7. Jahr wird die lineare AfA (3 % vom ursprünglichen Wert, also 12.000 € pro Jahr) höher als die degressive AfA (5 % vom Restwert).</t>
  </si>
  <si>
    <t>Ab diesem Zeitpunkt lohnt sich der Wechsel zur linearen AfA, da diese dann einen höheren Abschreibungsbetrag ermöglichtivd.net+2</t>
  </si>
  <si>
    <t>Zusammenfassung:</t>
  </si>
  <si>
    <t>In den ersten 6 Jahren wird degressiv (5 % vom Restwert) abgeschrieben.</t>
  </si>
  <si>
    <t>Ab dem 7. Jahr ist die lineare AfA (3 % von 400.000 € = 12.000 €) günstiger als die degressive AfA (5 % von 294.036,75 € = 14.701,84 €, aber nur noch für 1 Jahr möglich).</t>
  </si>
  <si>
    <t>Der optimale Wechselzeitpunkt ist also nach 6 Jahren degressiver Abschreibung oder sobald die lineare AfA höher ist als die degressive AfA.</t>
  </si>
  <si>
    <t>Hier die erweiterte Beispielrechnung für 400.000 € über 10 Jahre:</t>
  </si>
  <si>
    <t>Erläuterung:</t>
  </si>
  <si>
    <t>In den ersten 6 Jahren ist die degressive AfA höher und wird genutzt.</t>
  </si>
  <si>
    <t>Ab dem 7. Jahr wird auf die lineare AfA gewechselt, da diese dann einen konstanten, höheren Abschreibungsbetrag bietet (12.000 € vs. 14.701,84 € im 7. Jahr, aber nur noch für 1 Jahr möglich).</t>
  </si>
  <si>
    <t>Der Restwert sinkt durch die degressive AfA in den ersten Jahren schneller, was steuerlich vorteilhaft ist</t>
  </si>
  <si>
    <t>Siehe: https://ivd.net/bundesverband/steuerliche-vorteile-im-wohnungsbau-degressive-afa-sonderabschreibung</t>
  </si>
  <si>
    <t xml:space="preserve">Die degressive AfA für den Wohnungsbau beträgt 5 Prozent pro Jahr. Sie kann für Projekte mit Baubeginn zwischen dem 1. Oktober 2023 und dem 30. September 2029 in Anspruch genommen werden. </t>
  </si>
  <si>
    <t>Siehe Information zu AfA  unten im Blatt ab Zeile:  63</t>
  </si>
  <si>
    <t>Kreditbedarf bei Hausbank</t>
  </si>
  <si>
    <t>Kreditbedarf bei Hausbank =
Finanzbedarf  - Förderkredit</t>
  </si>
  <si>
    <t>Anzahl Tilgungszuschüsse (Jahre)</t>
  </si>
  <si>
    <t xml:space="preserve">  &lt;- Klicke auf Zelle &amp; Wähle mit Lasche!</t>
  </si>
  <si>
    <t xml:space="preserve">   Modellrechnung unterstellt zwei aufeinanderfolgenden Hausbankkredite  sowie </t>
  </si>
  <si>
    <t xml:space="preserve">   einen "Förderkredit" parallel zum 1. Hausbankkredit am Anfang des Projektes!</t>
  </si>
  <si>
    <t xml:space="preserve">Falls kein Förderkredit genutzt wird, </t>
  </si>
  <si>
    <t>ist die Höhe der Fördermittel auf Null zu setzen!</t>
  </si>
  <si>
    <t>Werte</t>
  </si>
  <si>
    <t>ggf. manuell</t>
  </si>
  <si>
    <t>eintragen</t>
  </si>
  <si>
    <t>&lt;= Model sieht kein Folge(Förder)kredit vor!</t>
  </si>
  <si>
    <t>Bank-</t>
  </si>
  <si>
    <t>ACHTUNG</t>
  </si>
  <si>
    <t xml:space="preserve">&lt;= Der Förderkredit muss dann komplett getilgt sein! </t>
  </si>
  <si>
    <t>als negative</t>
  </si>
  <si>
    <t>Hausbank-</t>
  </si>
  <si>
    <t>=-(3)+(4)+(5)</t>
  </si>
  <si>
    <t xml:space="preserve"> (6)/Anfangs-</t>
  </si>
  <si>
    <t xml:space="preserve"> Tilgung in %</t>
  </si>
  <si>
    <t>zuschüsse</t>
  </si>
  <si>
    <t>als positive</t>
  </si>
  <si>
    <t>eintragen!</t>
  </si>
  <si>
    <t xml:space="preserve"> Tilgung </t>
  </si>
  <si>
    <t xml:space="preserve">  in €</t>
  </si>
  <si>
    <t>plus Förderkredit</t>
  </si>
  <si>
    <t>(14)</t>
  </si>
  <si>
    <t xml:space="preserve"> (13)/Anfangs-</t>
  </si>
  <si>
    <t>=-(8)+(9)+(10)</t>
  </si>
  <si>
    <t>(7)*(6)</t>
  </si>
  <si>
    <t>Lade das Excel-File von dort ab und an herunter und schau nach im Blatt "ChangeLog", ob du die aktuelleste Version hast!</t>
  </si>
  <si>
    <t xml:space="preserve"> (15)</t>
  </si>
  <si>
    <t>= -(17)*</t>
  </si>
  <si>
    <t>(19)+(18)</t>
  </si>
  <si>
    <t>=(21 aus Vor-</t>
  </si>
  <si>
    <t xml:space="preserve"> jahr) - (20)</t>
  </si>
  <si>
    <t>(16)+(4)+(8)+(15)+</t>
  </si>
  <si>
    <t>+(20) - Disagio</t>
  </si>
  <si>
    <t xml:space="preserve">Die Formel für den zu versteuernden Gewinn im ersten Jahr (Zelle AB8) </t>
  </si>
  <si>
    <t xml:space="preserve">  (22) *</t>
  </si>
  <si>
    <t>(16)+(15)+(3)+(5)+</t>
  </si>
  <si>
    <t xml:space="preserve"> + (10)  =</t>
  </si>
  <si>
    <t>(24)+(25)</t>
  </si>
  <si>
    <t>kumu. Cash Flow (27)</t>
  </si>
  <si>
    <t>(29)</t>
  </si>
  <si>
    <t>(29) / Eigenkapital</t>
  </si>
  <si>
    <t>V4.6</t>
  </si>
  <si>
    <t>2025_11_24 Wie muss ein Immobilien-Investor mit Förderkredit rechnen Beta_Version.xlsx</t>
  </si>
  <si>
    <t>Zellen mit "Labels"</t>
  </si>
  <si>
    <t>siehe Menu:  FORMELN &gt; Namensmanager</t>
  </si>
  <si>
    <r>
      <t>Gewährleistung und Restriktionen</t>
    </r>
    <r>
      <rPr>
        <sz val="11"/>
        <rFont val="Arial"/>
        <family val="2"/>
      </rPr>
      <t>  </t>
    </r>
  </si>
  <si>
    <t>Dieses Tool stellt ein Nebenprodukt meiner Tätigkeit in meinem Private Office dar und wurde nicht entwickelt, um es kommerziell zu vermarkten.</t>
  </si>
  <si>
    <t xml:space="preserve">Es handelt sich um eine Modellrechnung (Szenario-Rechnung) und keine Prognose. </t>
  </si>
  <si>
    <t>Das bedeutet, das Ergebnis zeigt lediglich, wie die Belastung(en) aussehen könnte(n), wenn alle die gesetzten Annahmen und Parameter so eintreffen würden.</t>
  </si>
  <si>
    <t>Restschulden insgesamt am Jahresanfang</t>
  </si>
  <si>
    <t>Restschuld Förderkredit am Jahresanfang</t>
  </si>
  <si>
    <t>Restschuld Bankkredit am Jahresanfang</t>
  </si>
  <si>
    <t xml:space="preserve"> Tilgung p.a.</t>
  </si>
  <si>
    <t xml:space="preserve">   p.a. in €</t>
  </si>
  <si>
    <t xml:space="preserve"> (6)+(11)</t>
  </si>
  <si>
    <t>Start</t>
  </si>
  <si>
    <t xml:space="preserve">  = Start bzw.Jahr</t>
  </si>
  <si>
    <t xml:space="preserve">Die degressive Abschreibung ist auf einen Zeitraum von sechs Jahren begrenzt. Ab dem siebten Jahr oder sobald die lineare AfA (derzeit 3 Prozent) höher ist als die degressive AfA, </t>
  </si>
  <si>
    <t>lohnt es sich, auf die lineare Abschreibung zu wechseln, da dann die jährliche Abschreibungsquote höher ausfällt. Also:</t>
  </si>
  <si>
    <t xml:space="preserve">  KALKULATIONSLOGIK </t>
  </si>
  <si>
    <t>evtl. manuell
 eingeben</t>
  </si>
  <si>
    <t>lautet: AC8 = W8 + V8 +G8 + O8 + AA8 - Disagio</t>
  </si>
  <si>
    <t xml:space="preserve">Deshalb findet sich in der Formel in Zelle: AC8 „-Disagio“ (im 1. Jahr) </t>
  </si>
  <si>
    <t>Ab dem zweiten Jahr lautet die Formel: AC9 = W9 + V9 +G9 + O9 + AA9</t>
  </si>
  <si>
    <r>
      <t xml:space="preserve">                                                                  bzw.  </t>
    </r>
    <r>
      <rPr>
        <sz val="11"/>
        <rFont val="Calibri"/>
        <family val="2"/>
      </rPr>
      <t>(AC</t>
    </r>
    <r>
      <rPr>
        <vertAlign val="subscript"/>
        <sz val="11"/>
        <color rgb="FF000000"/>
        <rFont val="Calibri"/>
        <family val="2"/>
      </rPr>
      <t>n</t>
    </r>
    <r>
      <rPr>
        <sz val="11"/>
        <color rgb="FF000000"/>
        <rFont val="Calibri"/>
        <family val="2"/>
      </rPr>
      <t>)  =  + (-W</t>
    </r>
    <r>
      <rPr>
        <vertAlign val="subscript"/>
        <sz val="11"/>
        <color rgb="FF000000"/>
        <rFont val="Calibri"/>
        <family val="2"/>
      </rPr>
      <t>n</t>
    </r>
    <r>
      <rPr>
        <sz val="11"/>
        <color rgb="FF000000"/>
        <rFont val="Calibri"/>
        <family val="2"/>
      </rPr>
      <t>)  + (-V</t>
    </r>
    <r>
      <rPr>
        <vertAlign val="subscript"/>
        <sz val="11"/>
        <color rgb="FF000000"/>
        <rFont val="Calibri"/>
        <family val="2"/>
      </rPr>
      <t>n</t>
    </r>
    <r>
      <rPr>
        <sz val="11"/>
        <color rgb="FF000000"/>
        <rFont val="Calibri"/>
        <family val="2"/>
      </rPr>
      <t>)  +  (-G</t>
    </r>
    <r>
      <rPr>
        <vertAlign val="subscript"/>
        <sz val="11"/>
        <color rgb="FF000000"/>
        <rFont val="Calibri"/>
        <family val="2"/>
      </rPr>
      <t>n</t>
    </r>
    <r>
      <rPr>
        <sz val="11"/>
        <color rgb="FF000000"/>
        <rFont val="Calibri"/>
        <family val="2"/>
      </rPr>
      <t>) + (-O</t>
    </r>
    <r>
      <rPr>
        <vertAlign val="subscript"/>
        <sz val="11"/>
        <color rgb="FF000000"/>
        <rFont val="Calibri"/>
        <family val="2"/>
      </rPr>
      <t>n</t>
    </r>
    <r>
      <rPr>
        <sz val="11"/>
        <color rgb="FF000000"/>
        <rFont val="Calibri"/>
        <family val="2"/>
      </rPr>
      <t>)  + (-AA</t>
    </r>
    <r>
      <rPr>
        <vertAlign val="subscript"/>
        <sz val="11"/>
        <color rgb="FF000000"/>
        <rFont val="Calibri"/>
        <family val="2"/>
      </rPr>
      <t>n</t>
    </r>
    <r>
      <rPr>
        <sz val="11"/>
        <color rgb="FF000000"/>
        <rFont val="Calibri"/>
        <family val="2"/>
      </rPr>
      <t>)</t>
    </r>
  </si>
  <si>
    <t xml:space="preserve">   Miete  (16)  </t>
  </si>
  <si>
    <t xml:space="preserve">   minus  Unterhalts- und Betriebskosten (15) </t>
  </si>
  <si>
    <t xml:space="preserve">   minus  Schuldzinsen (4) und (7)</t>
  </si>
  <si>
    <t xml:space="preserve">  Der zu versteuernder Gewinn (22)</t>
  </si>
  <si>
    <t xml:space="preserve">   minus AfA insgesamt  (Spalte 20)</t>
  </si>
  <si>
    <r>
      <t>ist die Formel  (AC</t>
    </r>
    <r>
      <rPr>
        <vertAlign val="subscript"/>
        <sz val="11"/>
        <color rgb="FF000000"/>
        <rFont val="Calibri"/>
        <family val="2"/>
      </rPr>
      <t>n</t>
    </r>
    <r>
      <rPr>
        <sz val="11"/>
        <color rgb="FF000000"/>
        <rFont val="Calibri"/>
        <family val="2"/>
      </rPr>
      <t>)  =  (+W</t>
    </r>
    <r>
      <rPr>
        <vertAlign val="subscript"/>
        <sz val="11"/>
        <color rgb="FF000000"/>
        <rFont val="Calibri"/>
        <family val="2"/>
      </rPr>
      <t>n</t>
    </r>
    <r>
      <rPr>
        <sz val="11"/>
        <color rgb="FF000000"/>
        <rFont val="Calibri"/>
        <family val="2"/>
      </rPr>
      <t>) + (-V</t>
    </r>
    <r>
      <rPr>
        <vertAlign val="subscript"/>
        <sz val="11"/>
        <color rgb="FF000000"/>
        <rFont val="Calibri"/>
        <family val="2"/>
      </rPr>
      <t>n</t>
    </r>
    <r>
      <rPr>
        <sz val="11"/>
        <color rgb="FF000000"/>
        <rFont val="Calibri"/>
        <family val="2"/>
      </rPr>
      <t>)  + (-G</t>
    </r>
    <r>
      <rPr>
        <vertAlign val="subscript"/>
        <sz val="11"/>
        <color rgb="FF000000"/>
        <rFont val="Calibri"/>
        <family val="2"/>
      </rPr>
      <t>n</t>
    </r>
    <r>
      <rPr>
        <sz val="11"/>
        <color rgb="FF000000"/>
        <rFont val="Calibri"/>
        <family val="2"/>
      </rPr>
      <t>) + (-O</t>
    </r>
    <r>
      <rPr>
        <vertAlign val="subscript"/>
        <sz val="11"/>
        <color rgb="FF000000"/>
        <rFont val="Calibri"/>
        <family val="2"/>
      </rPr>
      <t>n</t>
    </r>
    <r>
      <rPr>
        <sz val="11"/>
        <color rgb="FF000000"/>
        <rFont val="Calibri"/>
        <family val="2"/>
      </rPr>
      <t>) + (-AA</t>
    </r>
    <r>
      <rPr>
        <vertAlign val="subscript"/>
        <sz val="11"/>
        <color rgb="FF000000"/>
        <rFont val="Calibri"/>
        <family val="2"/>
      </rPr>
      <t>n</t>
    </r>
    <r>
      <rPr>
        <sz val="11"/>
        <color rgb="FF000000"/>
        <rFont val="Calibri"/>
        <family val="2"/>
      </rPr>
      <t>)      das Äquivalent von  AC</t>
    </r>
    <r>
      <rPr>
        <vertAlign val="subscript"/>
        <sz val="11"/>
        <color rgb="FF000000"/>
        <rFont val="Calibri"/>
        <family val="2"/>
      </rPr>
      <t>n</t>
    </r>
    <r>
      <rPr>
        <sz val="11"/>
        <color rgb="FF000000"/>
        <rFont val="Calibri"/>
        <family val="2"/>
      </rPr>
      <t xml:space="preserve"> = W</t>
    </r>
    <r>
      <rPr>
        <vertAlign val="subscript"/>
        <sz val="11"/>
        <color rgb="FF000000"/>
        <rFont val="Calibri"/>
        <family val="2"/>
      </rPr>
      <t>n</t>
    </r>
    <r>
      <rPr>
        <sz val="11"/>
        <color rgb="FF000000"/>
        <rFont val="Calibri"/>
        <family val="2"/>
      </rPr>
      <t xml:space="preserve"> –V</t>
    </r>
    <r>
      <rPr>
        <vertAlign val="subscript"/>
        <sz val="11"/>
        <color rgb="FF000000"/>
        <rFont val="Calibri"/>
        <family val="2"/>
      </rPr>
      <t>n</t>
    </r>
    <r>
      <rPr>
        <sz val="11"/>
        <color rgb="FF000000"/>
        <rFont val="Calibri"/>
        <family val="2"/>
      </rPr>
      <t xml:space="preserve"> – G</t>
    </r>
    <r>
      <rPr>
        <vertAlign val="subscript"/>
        <sz val="11"/>
        <color rgb="FF000000"/>
        <rFont val="Calibri"/>
        <family val="2"/>
      </rPr>
      <t>n  </t>
    </r>
    <r>
      <rPr>
        <sz val="11"/>
        <color rgb="FF000000"/>
        <rFont val="Calibri"/>
        <family val="2"/>
      </rPr>
      <t> –O</t>
    </r>
    <r>
      <rPr>
        <vertAlign val="subscript"/>
        <sz val="11"/>
        <color rgb="FF000000"/>
        <rFont val="Calibri"/>
        <family val="2"/>
      </rPr>
      <t>n    </t>
    </r>
    <r>
      <rPr>
        <sz val="10"/>
        <color rgb="FF000000"/>
        <rFont val="Calibri"/>
        <family val="2"/>
      </rPr>
      <t>–AA</t>
    </r>
    <r>
      <rPr>
        <vertAlign val="subscript"/>
        <sz val="10"/>
        <color rgb="FF000000"/>
        <rFont val="Calibri"/>
        <family val="2"/>
      </rPr>
      <t>n</t>
    </r>
  </si>
  <si>
    <t>im Gegensatz nur Formel in Zelle: AC9 (im 2. Jahr)</t>
  </si>
  <si>
    <t xml:space="preserve">  &lt;- Zins aus dem Förderkreditvertrag</t>
  </si>
  <si>
    <t>Annuität p.a.</t>
  </si>
  <si>
    <t xml:space="preserve">  &lt;- Betrag p.a. aus dem Förderkreditvetrag</t>
  </si>
  <si>
    <t>Finanzierungszeitraum in Jahren</t>
  </si>
  <si>
    <t xml:space="preserve">  &lt;- Annuität p.a. aus dem Förderkreditvetrag</t>
  </si>
  <si>
    <t xml:space="preserve">  &lt;- Anzahl aus dem Förderkreditvetrag</t>
  </si>
  <si>
    <t>Name der Bank</t>
  </si>
  <si>
    <t>Statt eines Förderkredits kann dieser Eingabe-Bereich für einen 2.</t>
  </si>
  <si>
    <t xml:space="preserve">Bankkredit mit unterschiedlichen Konditionen und Laufzeit genutzt </t>
  </si>
  <si>
    <t>werden, der ebenfalls bei Beginn des Projekts startet.</t>
  </si>
  <si>
    <t>Zum Ende der Kreditlaufzeit ist dann dieser Kredit komplett getilgt (NULL)!
Es ist kein Folgekredit möglich!</t>
  </si>
  <si>
    <t>im Blatt "Parameter"  Eingabenfür Förderkredit eingebaut und  Zellen mit Labels aufgeführt, 
im Blatt: Cash &amp; Assets Spalten für Förderkredit eingschoben, 
Übersichtlichkeit verbessert mit mehr leeren Spalten,
Kennzahlenblatt (Restschulden) modiziert,</t>
  </si>
  <si>
    <t>Wie muss ein Immobilien-Investor mit Förderkredit rechnen?</t>
  </si>
  <si>
    <t>2025_11_28 Wie muss ein Immobilien-Investor mit Förderkredit rechnen.xlsx
bzw.
Wie muss ein Immobilien-Investor mit Förderkredit rechnen.xlsx</t>
  </si>
  <si>
    <t>Im Blatt "Hinweise" Erläuterungen korrigiert und mit Tabelle zur jährlichen (Anfangs-)Tilgung ergänzt, 
im Blatt "Parameter" Zellen mit Labels aufgeführt
Cash &amp; Asstes mit leeren Spalten zur Verbesserung des Layouts</t>
  </si>
  <si>
    <t>2025_11_21 Wie muss ein Immobilien-Investor.xlsx
bzw.
Wie muss ein Immobilien-Investor rechnen.xlsx</t>
  </si>
  <si>
    <t>V4.5</t>
  </si>
  <si>
    <t>Kalkualtion der Rendite in Spalte AA korrigiert  = Yn +Jn
Berechnung des "Mittel-Überschusses bei hypoth. Verkauf" (Blatt Kennzahlen, Zelle N16) und Link auf Download-Website korrigiert</t>
  </si>
  <si>
    <t>2025_04_06 Wie muss ein Immobilien-Investor.xlsx
bzw.
Wie muss ein Immobilien-Investor rechnen.xlsx</t>
  </si>
  <si>
    <t>V4.4</t>
  </si>
  <si>
    <t>Fehlerkorrektur: Instandhaltungskosten am Anfang (Parameter-Blatt Zeile 14) weden jetzt in der Cash&amp;Assets-Kalkulation reflektiert  (in Zelle L8)</t>
  </si>
  <si>
    <t>2025_01_27 Wie muss ein Immobilien-Investor.xlsx
bzw.
Wie muss ein Immobilien-Investor rechnen.xlsx</t>
  </si>
  <si>
    <t>V4.3</t>
  </si>
  <si>
    <t xml:space="preserve">Im Parameter-Blatt  (Zelle B55 ) sowie im Hinweise-Blatt (ab Zeile 92) Info. zur anfänglichen jährlichen Tilgung eingefügt! </t>
  </si>
  <si>
    <t>2024_06_26 Wie muss ein Immobilien-Investor.xlsx
bzw.
Wie muss ein Immobilien-Investor rechnen.xlsx</t>
  </si>
  <si>
    <t>V4.2</t>
  </si>
  <si>
    <t>Die vergessene Korrektur des Rechenfehler für den Gewinn aus V+V beseitigt, 
die Formel ist jetzt so, wie in der Beschreibung der Kalkulationslogik (dort war die Logik korrekt)</t>
  </si>
  <si>
    <t>2024_05_05 Wie muss ein Immobilien-Investor.xlsx
bzw.
Wie muss ein Immobilien-Investor rechnen.xlsx</t>
  </si>
  <si>
    <t>V4.1</t>
  </si>
  <si>
    <t>AfA als "Negativer Wert" in "Cash &amp; Asset Blatt" eingeführt, da AfA Aufwand (aber keine Mittelabfluss) bedeutet
Erläuterung zur Berechungen (Kalkulationslogik) des zu versteuernden Gewinn im Blatt "Cash &amp; Assets" hinzugefügt</t>
  </si>
  <si>
    <t>2024_04_24 Wie muss ein Immobilien-Investor.xlsx
bzw.
Wie muss ein Immobilien-Investor rechnen.xlsx</t>
  </si>
  <si>
    <t>V4.0</t>
  </si>
  <si>
    <t>Neu eingeführt: 
Diverse (anpassungsfähige) AfA Varianten in der
AfA Tabelle (zum Anpassen)
Spalte für Sonder-AfA
Spalte für Sondertilgung</t>
  </si>
  <si>
    <t xml:space="preserve">2024_04_14 Wie muss ein Immobilien-Investor mit Degr AfA rechnen.xlsx
</t>
  </si>
  <si>
    <t>V3.3</t>
  </si>
  <si>
    <t>AfA Varianten eingeführt:  Linear mit 2% oder 3%
und 
Degresiiv Linear mit 5 % in den ersten sechs Jahren und danach 3 % p.a.</t>
  </si>
  <si>
    <t>2024_04_10 Wie-muss-ein-Immobilien_Investor mit Degr AfA rechnen.xlsx</t>
  </si>
  <si>
    <t>V3.2</t>
  </si>
  <si>
    <t>Zusammenführung der Blätter "Cash" und "Assets" in ein Blatt "Cash &amp; Assets"
Eigenkapialrendite-Rechnung angefügt</t>
  </si>
  <si>
    <t>2021-08-10 Wie muss ein Immobilien-Investor rechnen.xlsx</t>
  </si>
  <si>
    <t>V3.1</t>
  </si>
  <si>
    <t>Korrektur der AFA-Basis:
Erwerbsnebenkosten werden anteilig auf das Gebäude angerechnet und aktiviert und über die Lebendauer abgeschrieben.</t>
  </si>
  <si>
    <t>2021-08-08 Wie muss ein Immobilien-Investor rechnen.xlsx</t>
  </si>
  <si>
    <t>V3.0</t>
  </si>
  <si>
    <t>Ergänzungen bei Parameter-Eingaben, 
Konsistenz bei Cash &amp; Assets herbeigeführt damit immer:
(+) ist Mittelzufluss / Ertrag
(-) ist Mittelabfluss / Aufwand</t>
  </si>
  <si>
    <t>2021-06-28 Wie muss ein Immobilien-Investor rechnen.xlsx</t>
  </si>
  <si>
    <t>V2.0</t>
  </si>
  <si>
    <t>Überarbeitung, Graphiken &amp; Kennzahlen-Blatt hinzugefügt</t>
  </si>
  <si>
    <t>2014-06-22  Was werfen Immobilien ab.xlsx</t>
  </si>
  <si>
    <t>V1.0</t>
  </si>
  <si>
    <t>Diverse Updates &amp; Verfeinerungen</t>
  </si>
  <si>
    <t>2010-10-14  Was werfen Immobilien ab.xlsx</t>
  </si>
  <si>
    <t>Inital Version</t>
  </si>
  <si>
    <t>vor 2000</t>
  </si>
  <si>
    <t>V 4.7</t>
  </si>
  <si>
    <t>V 5.0</t>
  </si>
  <si>
    <t>Release für Publikation in Controllingportal.de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</si>
</sst>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 #,##0.00\ &quot;€&quot;_-;\-* #,##0.00\ &quot;€&quot;_-;_-* &quot;-&quot;??\ &quot;€&quot;_-;_-@_-"/>
    <numFmt numFmtId="164" formatCode="_-* #,##0.00\ _€_-;\-* #,##0.00\ _€_-;_-* &quot;-&quot;??\ _€_-;_-@_-"/>
    <numFmt numFmtId="165" formatCode="General;\-General"/>
    <numFmt numFmtId="166" formatCode="dd/mm/yy"/>
    <numFmt numFmtId="167" formatCode="#,##0.00\ [$€-407];\-#,##0.00\ [$€-407]"/>
    <numFmt numFmtId="168" formatCode="[$€-1]#,##0.00"/>
    <numFmt numFmtId="169" formatCode="#,##0.00\ [$€-407];[Red]\-#,##0.00\ [$€-407]"/>
    <numFmt numFmtId="170" formatCode="#,##0\ [$€-407];\-#,##0\ [$€-407]"/>
    <numFmt numFmtId="171" formatCode="0.0%"/>
    <numFmt numFmtId="172" formatCode="_-* #,##0.00\ [$€-407]_-;\-* #,##0.00\ [$€-407]_-;_-* &quot;-&quot;??\ [$€-407]_-;_-@_-"/>
    <numFmt numFmtId="173" formatCode="_-* #,##0\ [$€-407]_-;\-* #,##0\ [$€-407]_-;_-* &quot;-&quot;??\ [$€-407]_-;_-@_-"/>
    <numFmt numFmtId="174" formatCode="_-* #,##0&quot; €&quot;_-;\-* #,##0&quot; €&quot;_-;_-* \-??&quot; €&quot;_-;_-@_-"/>
    <numFmt numFmtId="175" formatCode="#,##0.0\ &quot;m²&quot;"/>
    <numFmt numFmtId="176" formatCode="_-* #,##0\ &quot;€&quot;_-;\-* #,##0\ &quot;€&quot;_-;_-* &quot;-&quot;??\ &quot;€&quot;_-;_-@_-"/>
    <numFmt numFmtId="177" formatCode="_-* #,##0.0\ _€_-;\-* #,##0.0\ _€_-;_-* &quot;-&quot;??\ _€_-;_-@_-"/>
    <numFmt numFmtId="178" formatCode="#,##0\ [$€-407]"/>
    <numFmt numFmtId="179" formatCode="0.00\ %"/>
  </numFmts>
  <fonts count="97">
    <font>
      <sz val="10"/>
      <name val="Arial"/>
      <family val="2"/>
    </font>
    <font>
      <sz val="11"/>
      <color theme="1"/>
      <name val="Calibri"/>
      <family val="2"/>
      <scheme val="minor"/>
    </font>
    <font>
      <b/>
      <sz val="10"/>
      <name val="Arial"/>
      <family val="2"/>
    </font>
    <font>
      <sz val="12"/>
      <name val="Arial"/>
      <family val="2"/>
    </font>
    <font>
      <sz val="10"/>
      <name val="Arial"/>
      <family val="2"/>
    </font>
    <font>
      <sz val="9"/>
      <color indexed="81"/>
      <name val="Tahoma"/>
      <family val="2"/>
    </font>
    <font>
      <b/>
      <sz val="9"/>
      <color indexed="81"/>
      <name val="Tahoma"/>
      <family val="2"/>
    </font>
    <font>
      <sz val="10"/>
      <color indexed="8"/>
      <name val="Arial MT"/>
      <family val="2"/>
    </font>
    <font>
      <sz val="9"/>
      <name val="Arial"/>
      <family val="2"/>
    </font>
    <font>
      <u/>
      <sz val="10"/>
      <color theme="10"/>
      <name val="Arial"/>
      <family val="2"/>
    </font>
    <font>
      <sz val="11"/>
      <color theme="0"/>
      <name val="Calibri"/>
      <family val="2"/>
      <scheme val="minor"/>
    </font>
    <font>
      <sz val="11"/>
      <name val="Verdana"/>
      <family val="2"/>
    </font>
    <font>
      <sz val="10"/>
      <name val="Verdana"/>
      <family val="2"/>
    </font>
    <font>
      <b/>
      <sz val="11"/>
      <name val="Verdana"/>
      <family val="2"/>
    </font>
    <font>
      <b/>
      <sz val="12"/>
      <color indexed="8"/>
      <name val="Verdana"/>
      <family val="2"/>
    </font>
    <font>
      <b/>
      <sz val="10"/>
      <color theme="0"/>
      <name val="Calibri"/>
      <family val="2"/>
      <scheme val="minor"/>
    </font>
    <font>
      <sz val="10"/>
      <color theme="1"/>
      <name val="Calibri"/>
      <family val="2"/>
      <scheme val="minor"/>
    </font>
    <font>
      <sz val="10"/>
      <color theme="0" tint="-0.499984740745262"/>
      <name val="Calibri"/>
      <family val="2"/>
      <scheme val="minor"/>
    </font>
    <font>
      <sz val="11"/>
      <color rgb="FF0070C0"/>
      <name val="Verdana"/>
      <family val="2"/>
    </font>
    <font>
      <b/>
      <sz val="11"/>
      <color indexed="8"/>
      <name val="Verdana"/>
      <family val="2"/>
    </font>
    <font>
      <sz val="10"/>
      <name val="Calibri"/>
      <family val="2"/>
      <scheme val="minor"/>
    </font>
    <font>
      <b/>
      <sz val="11"/>
      <color theme="0"/>
      <name val="Verdana"/>
      <family val="2"/>
    </font>
    <font>
      <sz val="11"/>
      <color theme="0"/>
      <name val="Verdana"/>
      <family val="2"/>
    </font>
    <font>
      <b/>
      <sz val="18"/>
      <color indexed="8"/>
      <name val="Verdana"/>
      <family val="2"/>
    </font>
    <font>
      <sz val="12"/>
      <color indexed="8"/>
      <name val="Verdana"/>
      <family val="2"/>
    </font>
    <font>
      <b/>
      <i/>
      <sz val="12"/>
      <color indexed="8"/>
      <name val="Verdana"/>
      <family val="2"/>
    </font>
    <font>
      <b/>
      <sz val="14"/>
      <color indexed="8"/>
      <name val="Verdana"/>
      <family val="2"/>
    </font>
    <font>
      <u/>
      <sz val="12"/>
      <color theme="10"/>
      <name val="Verdana"/>
      <family val="2"/>
    </font>
    <font>
      <b/>
      <i/>
      <sz val="12"/>
      <color indexed="39"/>
      <name val="Verdana"/>
      <family val="2"/>
    </font>
    <font>
      <b/>
      <sz val="11"/>
      <color theme="0"/>
      <name val="Calibri"/>
      <family val="2"/>
      <scheme val="minor"/>
    </font>
    <font>
      <i/>
      <sz val="12"/>
      <color indexed="8"/>
      <name val="Verdana"/>
      <family val="2"/>
    </font>
    <font>
      <i/>
      <sz val="12"/>
      <name val="Verdana"/>
      <family val="2"/>
    </font>
    <font>
      <u/>
      <sz val="11"/>
      <color theme="10"/>
      <name val="Arial"/>
      <family val="2"/>
    </font>
    <font>
      <sz val="9"/>
      <color indexed="81"/>
      <name val="Segoe UI"/>
      <family val="2"/>
    </font>
    <font>
      <b/>
      <sz val="9"/>
      <color indexed="81"/>
      <name val="Segoe UI"/>
      <family val="2"/>
    </font>
    <font>
      <b/>
      <sz val="11"/>
      <name val="Arial"/>
      <family val="2"/>
    </font>
    <font>
      <b/>
      <sz val="12"/>
      <name val="Verdana"/>
      <family val="2"/>
    </font>
    <font>
      <sz val="12"/>
      <name val="Verdana"/>
      <family val="2"/>
    </font>
    <font>
      <b/>
      <sz val="16"/>
      <color indexed="8"/>
      <name val="Verdana"/>
      <family val="2"/>
    </font>
    <font>
      <sz val="12"/>
      <color theme="10"/>
      <name val="Verdana"/>
      <family val="2"/>
    </font>
    <font>
      <sz val="12"/>
      <color indexed="8"/>
      <name val="Calibri"/>
      <family val="2"/>
    </font>
    <font>
      <sz val="12"/>
      <color indexed="8"/>
      <name val="Arial MT"/>
      <family val="2"/>
    </font>
    <font>
      <b/>
      <sz val="10"/>
      <name val="Calibri"/>
      <family val="2"/>
      <scheme val="minor"/>
    </font>
    <font>
      <b/>
      <sz val="11"/>
      <name val="Calibri"/>
      <family val="2"/>
      <scheme val="minor"/>
    </font>
    <font>
      <b/>
      <sz val="11"/>
      <color theme="1"/>
      <name val="Calibri"/>
      <family val="2"/>
      <scheme val="minor"/>
    </font>
    <font>
      <b/>
      <sz val="11"/>
      <color indexed="8"/>
      <name val="Calibri"/>
      <family val="2"/>
      <scheme val="minor"/>
    </font>
    <font>
      <sz val="11"/>
      <color indexed="8"/>
      <name val="Calibri"/>
      <family val="2"/>
      <scheme val="minor"/>
    </font>
    <font>
      <sz val="10"/>
      <color indexed="8"/>
      <name val="Calibri"/>
      <family val="2"/>
      <scheme val="minor"/>
    </font>
    <font>
      <sz val="11"/>
      <name val="Calibri"/>
      <family val="2"/>
      <scheme val="minor"/>
    </font>
    <font>
      <sz val="11"/>
      <color indexed="12"/>
      <name val="Calibri"/>
      <family val="2"/>
      <scheme val="minor"/>
    </font>
    <font>
      <i/>
      <sz val="11"/>
      <color indexed="8"/>
      <name val="Calibri"/>
      <family val="2"/>
      <scheme val="minor"/>
    </font>
    <font>
      <b/>
      <sz val="12"/>
      <color indexed="8"/>
      <name val="Calibri"/>
      <family val="2"/>
      <scheme val="minor"/>
    </font>
    <font>
      <sz val="11"/>
      <color indexed="8"/>
      <name val="Arial MT"/>
      <family val="2"/>
    </font>
    <font>
      <b/>
      <u/>
      <sz val="9"/>
      <color indexed="81"/>
      <name val="Tahoma"/>
      <family val="2"/>
    </font>
    <font>
      <b/>
      <i/>
      <u/>
      <sz val="10"/>
      <name val="Verdana"/>
      <family val="2"/>
    </font>
    <font>
      <sz val="14"/>
      <color indexed="8"/>
      <name val="Verdana"/>
      <family val="2"/>
    </font>
    <font>
      <b/>
      <sz val="11"/>
      <color rgb="FF000000"/>
      <name val="Calibri"/>
      <family val="2"/>
      <charset val="1"/>
    </font>
    <font>
      <b/>
      <sz val="11"/>
      <name val="Calibri"/>
      <family val="2"/>
      <charset val="1"/>
    </font>
    <font>
      <sz val="11"/>
      <color rgb="FF000000"/>
      <name val="Calibri"/>
      <family val="2"/>
      <charset val="1"/>
    </font>
    <font>
      <sz val="11"/>
      <color rgb="FF000000"/>
      <name val="Arial MT"/>
      <family val="2"/>
      <charset val="1"/>
    </font>
    <font>
      <sz val="11"/>
      <name val="Calibri"/>
      <family val="2"/>
      <charset val="1"/>
    </font>
    <font>
      <sz val="11"/>
      <color rgb="FF000000"/>
      <name val="Calibri"/>
      <family val="2"/>
    </font>
    <font>
      <sz val="11"/>
      <name val="Verdana"/>
      <family val="2"/>
      <charset val="1"/>
    </font>
    <font>
      <b/>
      <sz val="18"/>
      <name val="Arial"/>
      <family val="2"/>
    </font>
    <font>
      <b/>
      <sz val="10"/>
      <name val="Verdana"/>
      <family val="2"/>
    </font>
    <font>
      <b/>
      <sz val="11"/>
      <color rgb="FFFF0000"/>
      <name val="Verdana"/>
      <family val="2"/>
    </font>
    <font>
      <b/>
      <sz val="10"/>
      <color rgb="FFFF0000"/>
      <name val="Verdana"/>
      <family val="2"/>
    </font>
    <font>
      <b/>
      <sz val="16"/>
      <name val="Arial"/>
      <family val="2"/>
    </font>
    <font>
      <sz val="8"/>
      <color indexed="8"/>
      <name val="Calibri"/>
      <family val="2"/>
      <scheme val="minor"/>
    </font>
    <font>
      <b/>
      <sz val="8"/>
      <color indexed="8"/>
      <name val="Calibri"/>
      <family val="2"/>
      <scheme val="minor"/>
    </font>
    <font>
      <b/>
      <sz val="14"/>
      <color indexed="8"/>
      <name val="Calibri"/>
      <family val="2"/>
      <scheme val="minor"/>
    </font>
    <font>
      <b/>
      <sz val="14"/>
      <name val="Arial"/>
      <family val="2"/>
    </font>
    <font>
      <b/>
      <sz val="12"/>
      <color rgb="FF000000"/>
      <name val="Calibri"/>
      <family val="2"/>
    </font>
    <font>
      <sz val="11"/>
      <name val="Calibri"/>
      <family val="2"/>
    </font>
    <font>
      <b/>
      <sz val="11"/>
      <name val="Calibri"/>
      <family val="2"/>
    </font>
    <font>
      <vertAlign val="subscript"/>
      <sz val="11"/>
      <color rgb="FF000000"/>
      <name val="Calibri"/>
      <family val="2"/>
    </font>
    <font>
      <b/>
      <sz val="12"/>
      <color rgb="FFFF0000"/>
      <name val="Verdana"/>
      <family val="2"/>
    </font>
    <font>
      <sz val="12"/>
      <name val="Times New Roman"/>
      <family val="1"/>
    </font>
    <font>
      <b/>
      <sz val="12"/>
      <name val="Arial"/>
      <family val="2"/>
    </font>
    <font>
      <b/>
      <i/>
      <sz val="12"/>
      <name val="Arial"/>
      <family val="2"/>
    </font>
    <font>
      <b/>
      <sz val="24"/>
      <name val="Arial"/>
      <family val="2"/>
    </font>
    <font>
      <sz val="12"/>
      <color indexed="8"/>
      <name val="Arial"/>
      <family val="2"/>
    </font>
    <font>
      <u/>
      <sz val="12"/>
      <color theme="10"/>
      <name val="Arial"/>
      <family val="2"/>
    </font>
    <font>
      <b/>
      <sz val="18"/>
      <name val="Calibri"/>
      <family val="2"/>
      <scheme val="minor"/>
    </font>
    <font>
      <sz val="9"/>
      <color indexed="81"/>
      <name val="Segoe UI"/>
      <charset val="1"/>
    </font>
    <font>
      <b/>
      <sz val="9"/>
      <color indexed="81"/>
      <name val="Segoe UI"/>
      <charset val="1"/>
    </font>
    <font>
      <sz val="12"/>
      <name val="Calibri"/>
      <family val="2"/>
    </font>
    <font>
      <b/>
      <sz val="12"/>
      <name val="Calibri"/>
      <family val="2"/>
    </font>
    <font>
      <b/>
      <i/>
      <sz val="12"/>
      <name val="Verdana"/>
      <family val="2"/>
    </font>
    <font>
      <b/>
      <sz val="11"/>
      <color theme="9" tint="0.79998168889431442"/>
      <name val="Calibri"/>
      <family val="2"/>
      <scheme val="minor"/>
    </font>
    <font>
      <b/>
      <u/>
      <sz val="11"/>
      <color theme="10"/>
      <name val="Arial"/>
      <family val="2"/>
    </font>
    <font>
      <sz val="10"/>
      <color rgb="FF000000"/>
      <name val="Calibri"/>
      <family val="2"/>
    </font>
    <font>
      <b/>
      <sz val="14"/>
      <name val="Verdana"/>
      <family val="2"/>
    </font>
    <font>
      <sz val="11"/>
      <name val="Arial"/>
      <family val="2"/>
    </font>
    <font>
      <b/>
      <sz val="10"/>
      <color theme="1"/>
      <name val="Calibri"/>
      <family val="2"/>
      <scheme val="minor"/>
    </font>
    <font>
      <vertAlign val="subscript"/>
      <sz val="10"/>
      <color rgb="FF000000"/>
      <name val="Calibri"/>
      <family val="2"/>
    </font>
    <font>
      <b/>
      <sz val="14"/>
      <color theme="0"/>
      <name val="Calibri"/>
      <family val="2"/>
      <scheme val="minor"/>
    </font>
  </fonts>
  <fills count="56">
    <fill>
      <patternFill patternType="none"/>
    </fill>
    <fill>
      <patternFill patternType="gray125"/>
    </fill>
    <fill>
      <patternFill patternType="solid">
        <fgColor indexed="9"/>
        <bgColor indexed="26"/>
      </patternFill>
    </fill>
    <fill>
      <patternFill patternType="solid">
        <fgColor indexed="13"/>
        <bgColor indexed="34"/>
      </patternFill>
    </fill>
    <fill>
      <patternFill patternType="solid">
        <fgColor rgb="FFFFFF00"/>
        <bgColor indexed="64"/>
      </patternFill>
    </fill>
    <fill>
      <patternFill patternType="solid">
        <fgColor theme="0"/>
        <bgColor indexed="43"/>
      </patternFill>
    </fill>
    <fill>
      <patternFill patternType="solid">
        <fgColor rgb="FFFFFF00"/>
        <bgColor indexed="26"/>
      </patternFill>
    </fill>
    <fill>
      <patternFill patternType="solid">
        <fgColor theme="0"/>
        <bgColor indexed="64"/>
      </patternFill>
    </fill>
    <fill>
      <patternFill patternType="solid">
        <fgColor theme="3"/>
        <bgColor indexed="64"/>
      </patternFill>
    </fill>
    <fill>
      <patternFill patternType="solid">
        <fgColor rgb="FFFBFFFD"/>
        <bgColor indexed="64"/>
      </patternFill>
    </fill>
    <fill>
      <patternFill patternType="solid">
        <fgColor theme="3" tint="0.89999084444715716"/>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79998168889431442"/>
        <bgColor indexed="43"/>
      </patternFill>
    </fill>
    <fill>
      <patternFill patternType="solid">
        <fgColor theme="8" tint="0.79998168889431442"/>
        <bgColor indexed="64"/>
      </patternFill>
    </fill>
    <fill>
      <patternFill patternType="solid">
        <fgColor theme="5" tint="0.59999389629810485"/>
        <bgColor indexed="26"/>
      </patternFill>
    </fill>
    <fill>
      <patternFill patternType="solid">
        <fgColor theme="5" tint="0.59999389629810485"/>
        <bgColor indexed="64"/>
      </patternFill>
    </fill>
    <fill>
      <patternFill patternType="solid">
        <fgColor theme="5" tint="0.39997558519241921"/>
        <bgColor indexed="26"/>
      </patternFill>
    </fill>
    <fill>
      <patternFill patternType="solid">
        <fgColor theme="4" tint="0.59999389629810485"/>
        <bgColor indexed="43"/>
      </patternFill>
    </fill>
    <fill>
      <patternFill patternType="solid">
        <fgColor theme="0"/>
        <bgColor indexed="26"/>
      </patternFill>
    </fill>
    <fill>
      <patternFill patternType="solid">
        <fgColor indexed="13"/>
        <bgColor indexed="64"/>
      </patternFill>
    </fill>
    <fill>
      <patternFill patternType="solid">
        <fgColor theme="6" tint="0.59999389629810485"/>
        <bgColor indexed="64"/>
      </patternFill>
    </fill>
    <fill>
      <patternFill patternType="solid">
        <fgColor theme="3" tint="0.59999389629810485"/>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9" tint="0.59999389629810485"/>
        <bgColor indexed="26"/>
      </patternFill>
    </fill>
    <fill>
      <patternFill patternType="solid">
        <fgColor theme="9" tint="0.39997558519241921"/>
        <bgColor indexed="64"/>
      </patternFill>
    </fill>
    <fill>
      <patternFill patternType="solid">
        <fgColor theme="2" tint="-0.249977111117893"/>
        <bgColor indexed="64"/>
      </patternFill>
    </fill>
    <fill>
      <patternFill patternType="solid">
        <fgColor theme="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2"/>
        <bgColor indexed="26"/>
      </patternFill>
    </fill>
    <fill>
      <patternFill patternType="solid">
        <fgColor rgb="FFFFFFCC"/>
        <bgColor indexed="64"/>
      </patternFill>
    </fill>
    <fill>
      <patternFill patternType="solid">
        <fgColor rgb="FFFFFFCC"/>
        <bgColor indexed="26"/>
      </patternFill>
    </fill>
    <fill>
      <patternFill patternType="solid">
        <fgColor theme="6" tint="0.79998168889431442"/>
        <bgColor indexed="26"/>
      </patternFill>
    </fill>
    <fill>
      <patternFill patternType="solid">
        <fgColor theme="8" tint="0.79998168889431442"/>
        <bgColor indexed="26"/>
      </patternFill>
    </fill>
    <fill>
      <patternFill patternType="solid">
        <fgColor theme="9"/>
        <bgColor indexed="64"/>
      </patternFill>
    </fill>
    <fill>
      <patternFill patternType="solid">
        <fgColor theme="2" tint="-9.9978637043366805E-2"/>
        <bgColor indexed="64"/>
      </patternFill>
    </fill>
    <fill>
      <patternFill patternType="solid">
        <fgColor rgb="FFFFFFFF"/>
        <bgColor rgb="FFFBFFFD"/>
      </patternFill>
    </fill>
    <fill>
      <patternFill patternType="solid">
        <fgColor theme="0"/>
        <bgColor indexed="34"/>
      </patternFill>
    </fill>
    <fill>
      <patternFill patternType="solid">
        <fgColor theme="9" tint="0.59999389629810485"/>
        <bgColor indexed="34"/>
      </patternFill>
    </fill>
    <fill>
      <patternFill patternType="solid">
        <fgColor theme="0"/>
        <bgColor rgb="FFF2DCDB"/>
      </patternFill>
    </fill>
    <fill>
      <patternFill patternType="solid">
        <fgColor theme="0"/>
        <bgColor rgb="FFFFFF00"/>
      </patternFill>
    </fill>
    <fill>
      <patternFill patternType="solid">
        <fgColor theme="0"/>
        <bgColor rgb="FFFBFFFD"/>
      </patternFill>
    </fill>
    <fill>
      <patternFill patternType="solid">
        <fgColor theme="6" tint="0.59999389629810485"/>
        <bgColor rgb="FFD99694"/>
      </patternFill>
    </fill>
    <fill>
      <patternFill patternType="solid">
        <fgColor theme="6" tint="0.59999389629810485"/>
        <bgColor rgb="FFFFFF00"/>
      </patternFill>
    </fill>
    <fill>
      <patternFill patternType="solid">
        <fgColor theme="6" tint="0.59999389629810485"/>
        <bgColor rgb="FFF2DCDB"/>
      </patternFill>
    </fill>
    <fill>
      <patternFill patternType="solid">
        <fgColor theme="6" tint="0.59999389629810485"/>
        <bgColor rgb="FFFBFFFD"/>
      </patternFill>
    </fill>
    <fill>
      <patternFill patternType="solid">
        <fgColor theme="5" tint="0.59999389629810485"/>
        <bgColor rgb="FFFFFF00"/>
      </patternFill>
    </fill>
    <fill>
      <patternFill patternType="solid">
        <fgColor theme="0" tint="-0.14999847407452621"/>
        <bgColor indexed="26"/>
      </patternFill>
    </fill>
    <fill>
      <patternFill patternType="solid">
        <fgColor theme="9" tint="0.79998168889431442"/>
        <bgColor indexed="26"/>
      </patternFill>
    </fill>
    <fill>
      <patternFill patternType="solid">
        <fgColor theme="0" tint="-0.14999847407452621"/>
        <bgColor indexed="64"/>
      </patternFill>
    </fill>
    <fill>
      <patternFill patternType="solid">
        <fgColor theme="9" tint="0.79998168889431442"/>
        <bgColor indexed="64"/>
      </patternFill>
    </fill>
    <fill>
      <patternFill patternType="solid">
        <fgColor theme="5" tint="0.79998168889431442"/>
        <bgColor indexed="26"/>
      </patternFill>
    </fill>
    <fill>
      <patternFill patternType="solid">
        <fgColor theme="3" tint="0.79998168889431442"/>
        <bgColor indexed="64"/>
      </patternFill>
    </fill>
    <fill>
      <patternFill patternType="solid">
        <fgColor theme="2" tint="-9.9978637043366805E-2"/>
        <bgColor indexed="26"/>
      </patternFill>
    </fill>
  </fills>
  <borders count="120">
    <border>
      <left/>
      <right/>
      <top/>
      <bottom/>
      <diagonal/>
    </border>
    <border>
      <left style="dotted">
        <color indexed="64"/>
      </left>
      <right style="dotted">
        <color indexed="64"/>
      </right>
      <top/>
      <bottom/>
      <diagonal/>
    </border>
    <border>
      <left style="dotted">
        <color indexed="64"/>
      </left>
      <right/>
      <top style="dotted">
        <color indexed="64"/>
      </top>
      <bottom/>
      <diagonal/>
    </border>
    <border>
      <left/>
      <right style="dotted">
        <color indexed="64"/>
      </right>
      <top style="dotted">
        <color indexed="64"/>
      </top>
      <bottom/>
      <diagonal/>
    </border>
    <border>
      <left style="dotted">
        <color indexed="64"/>
      </left>
      <right/>
      <top/>
      <bottom/>
      <diagonal/>
    </border>
    <border>
      <left/>
      <right style="dotted">
        <color indexed="64"/>
      </right>
      <top/>
      <bottom/>
      <diagonal/>
    </border>
    <border>
      <left style="medium">
        <color theme="3"/>
      </left>
      <right/>
      <top style="medium">
        <color theme="3"/>
      </top>
      <bottom/>
      <diagonal/>
    </border>
    <border>
      <left/>
      <right style="medium">
        <color theme="3"/>
      </right>
      <top/>
      <bottom/>
      <diagonal/>
    </border>
    <border>
      <left style="medium">
        <color theme="3"/>
      </left>
      <right style="thin">
        <color theme="0" tint="-0.249977111117893"/>
      </right>
      <top/>
      <bottom style="thin">
        <color theme="0" tint="-0.249977111117893"/>
      </bottom>
      <diagonal/>
    </border>
    <border>
      <left style="thin">
        <color theme="0" tint="-0.249977111117893"/>
      </left>
      <right style="medium">
        <color theme="3"/>
      </right>
      <top/>
      <bottom style="thin">
        <color theme="0" tint="-0.249977111117893"/>
      </bottom>
      <diagonal/>
    </border>
    <border>
      <left style="medium">
        <color theme="3"/>
      </left>
      <right style="thin">
        <color theme="0" tint="-0.249977111117893"/>
      </right>
      <top style="thin">
        <color theme="0" tint="-0.249977111117893"/>
      </top>
      <bottom style="thin">
        <color theme="0" tint="-0.249977111117893"/>
      </bottom>
      <diagonal/>
    </border>
    <border>
      <left style="thin">
        <color theme="0" tint="-0.249977111117893"/>
      </left>
      <right style="medium">
        <color theme="3"/>
      </right>
      <top style="thin">
        <color theme="0" tint="-0.249977111117893"/>
      </top>
      <bottom style="thin">
        <color theme="0" tint="-0.249977111117893"/>
      </bottom>
      <diagonal/>
    </border>
    <border>
      <left style="medium">
        <color theme="3"/>
      </left>
      <right/>
      <top/>
      <bottom/>
      <diagonal/>
    </border>
    <border>
      <left style="medium">
        <color theme="3"/>
      </left>
      <right style="thin">
        <color theme="0" tint="-0.249977111117893"/>
      </right>
      <top style="thin">
        <color theme="0" tint="-0.249977111117893"/>
      </top>
      <bottom style="medium">
        <color theme="3"/>
      </bottom>
      <diagonal/>
    </border>
    <border>
      <left style="thin">
        <color theme="0" tint="-0.249977111117893"/>
      </left>
      <right style="medium">
        <color theme="3"/>
      </right>
      <top style="thin">
        <color theme="0" tint="-0.249977111117893"/>
      </top>
      <bottom style="medium">
        <color theme="3"/>
      </bottom>
      <diagonal/>
    </border>
    <border>
      <left/>
      <right/>
      <top style="medium">
        <color theme="3"/>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medium">
        <color theme="3"/>
      </bottom>
      <diagonal/>
    </border>
    <border>
      <left style="thin">
        <color theme="0" tint="-0.249977111117893"/>
      </left>
      <right style="thin">
        <color theme="0" tint="-0.249977111117893"/>
      </right>
      <top style="thin">
        <color theme="0" tint="-0.249977111117893"/>
      </top>
      <bottom style="medium">
        <color theme="3"/>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theme="3" tint="0.24994659260841701"/>
      </right>
      <top style="medium">
        <color theme="3"/>
      </top>
      <bottom style="medium">
        <color theme="3"/>
      </bottom>
      <diagonal/>
    </border>
    <border>
      <left style="thin">
        <color theme="3" tint="0.24994659260841701"/>
      </left>
      <right style="thin">
        <color theme="3" tint="0.24994659260841701"/>
      </right>
      <top style="medium">
        <color theme="3"/>
      </top>
      <bottom style="medium">
        <color theme="3"/>
      </bottom>
      <diagonal/>
    </border>
    <border>
      <left/>
      <right style="thin">
        <color theme="0" tint="-0.249977111117893"/>
      </right>
      <top style="thin">
        <color theme="0" tint="-0.249977111117893"/>
      </top>
      <bottom style="thin">
        <color theme="0" tint="-0.249977111117893"/>
      </bottom>
      <diagonal/>
    </border>
    <border>
      <left style="medium">
        <color indexed="64"/>
      </left>
      <right/>
      <top style="medium">
        <color indexed="64"/>
      </top>
      <bottom/>
      <diagonal/>
    </border>
    <border>
      <left style="medium">
        <color indexed="64"/>
      </left>
      <right style="thin">
        <color theme="0" tint="-0.249977111117893"/>
      </right>
      <top style="thin">
        <color theme="0" tint="-0.249977111117893"/>
      </top>
      <bottom style="medium">
        <color indexed="64"/>
      </bottom>
      <diagonal/>
    </border>
    <border>
      <left style="medium">
        <color indexed="64"/>
      </left>
      <right style="thin">
        <color theme="0" tint="-0.249977111117893"/>
      </right>
      <top/>
      <bottom style="thin">
        <color theme="0" tint="-0.249977111117893"/>
      </bottom>
      <diagonal/>
    </border>
    <border>
      <left style="medium">
        <color indexed="64"/>
      </left>
      <right style="thin">
        <color theme="0" tint="-0.249977111117893"/>
      </right>
      <top style="thin">
        <color theme="0" tint="-0.249977111117893"/>
      </top>
      <bottom style="thin">
        <color theme="0" tint="-0.249977111117893"/>
      </bottom>
      <diagonal/>
    </border>
    <border>
      <left style="medium">
        <color indexed="64"/>
      </left>
      <right/>
      <top/>
      <bottom style="thin">
        <color theme="0" tint="-0.249977111117893"/>
      </bottom>
      <diagonal/>
    </border>
    <border>
      <left style="medium">
        <color indexed="64"/>
      </left>
      <right style="thin">
        <color theme="0" tint="-0.249977111117893"/>
      </right>
      <top style="thin">
        <color theme="0" tint="-0.249977111117893"/>
      </top>
      <bottom style="medium">
        <color theme="3"/>
      </bottom>
      <diagonal/>
    </border>
    <border>
      <left style="thin">
        <color theme="3" tint="0.24994659260841701"/>
      </left>
      <right style="thin">
        <color indexed="64"/>
      </right>
      <top style="medium">
        <color theme="3"/>
      </top>
      <bottom style="medium">
        <color theme="3"/>
      </bottom>
      <diagonal/>
    </border>
    <border>
      <left style="thin">
        <color theme="0" tint="-0.249977111117893"/>
      </left>
      <right style="thin">
        <color indexed="64"/>
      </right>
      <top style="thin">
        <color theme="0" tint="-0.249977111117893"/>
      </top>
      <bottom style="thin">
        <color theme="0" tint="-0.249977111117893"/>
      </bottom>
      <diagonal/>
    </border>
    <border>
      <left style="medium">
        <color indexed="64"/>
      </left>
      <right style="thin">
        <color theme="0" tint="-0.249977111117893"/>
      </right>
      <top style="medium">
        <color indexed="64"/>
      </top>
      <bottom style="medium">
        <color theme="3"/>
      </bottom>
      <diagonal/>
    </border>
    <border>
      <left style="thin">
        <color theme="0" tint="-0.249977111117893"/>
      </left>
      <right style="thin">
        <color theme="0" tint="-0.249977111117893"/>
      </right>
      <top style="medium">
        <color indexed="64"/>
      </top>
      <bottom style="medium">
        <color theme="3"/>
      </bottom>
      <diagonal/>
    </border>
    <border>
      <left style="thin">
        <color theme="0" tint="-0.249977111117893"/>
      </left>
      <right style="medium">
        <color indexed="64"/>
      </right>
      <top style="medium">
        <color indexed="64"/>
      </top>
      <bottom style="medium">
        <color theme="3"/>
      </bottom>
      <diagonal/>
    </border>
    <border>
      <left style="medium">
        <color indexed="64"/>
      </left>
      <right style="thin">
        <color theme="0" tint="-0.249977111117893"/>
      </right>
      <top style="medium">
        <color theme="3"/>
      </top>
      <bottom style="thin">
        <color theme="0" tint="-0.249977111117893"/>
      </bottom>
      <diagonal/>
    </border>
    <border>
      <left/>
      <right style="medium">
        <color indexed="64"/>
      </right>
      <top style="medium">
        <color theme="3"/>
      </top>
      <bottom style="thin">
        <color theme="0" tint="-0.249977111117893"/>
      </bottom>
      <diagonal/>
    </border>
    <border>
      <left/>
      <right style="thin">
        <color theme="0" tint="-0.249977111117893"/>
      </right>
      <top style="thin">
        <color theme="0" tint="-0.249977111117893"/>
      </top>
      <bottom style="medium">
        <color indexed="64"/>
      </bottom>
      <diagonal/>
    </border>
    <border>
      <left style="thin">
        <color theme="0" tint="-0.249977111117893"/>
      </left>
      <right style="thin">
        <color theme="0" tint="-0.249977111117893"/>
      </right>
      <top style="thin">
        <color theme="0" tint="-0.249977111117893"/>
      </top>
      <bottom style="medium">
        <color indexed="64"/>
      </bottom>
      <diagonal/>
    </border>
    <border>
      <left/>
      <right style="medium">
        <color indexed="64"/>
      </right>
      <top style="thin">
        <color theme="0" tint="-0.249977111117893"/>
      </top>
      <bottom style="medium">
        <color indexed="64"/>
      </bottom>
      <diagonal/>
    </border>
    <border>
      <left style="thin">
        <color indexed="64"/>
      </left>
      <right/>
      <top/>
      <bottom/>
      <diagonal/>
    </border>
    <border>
      <left style="thin">
        <color theme="2"/>
      </left>
      <right style="thin">
        <color theme="2"/>
      </right>
      <top style="thin">
        <color theme="2"/>
      </top>
      <bottom style="thin">
        <color theme="2"/>
      </bottom>
      <diagonal/>
    </border>
    <border>
      <left style="thin">
        <color theme="3" tint="0.24994659260841701"/>
      </left>
      <right style="thin">
        <color theme="3" tint="0.24994659260841701"/>
      </right>
      <top style="thin">
        <color theme="2"/>
      </top>
      <bottom style="thin">
        <color theme="2"/>
      </bottom>
      <diagonal/>
    </border>
    <border>
      <left style="thin">
        <color theme="3" tint="0.24994659260841701"/>
      </left>
      <right style="thin">
        <color theme="2"/>
      </right>
      <top style="thin">
        <color theme="2"/>
      </top>
      <bottom style="thin">
        <color theme="2"/>
      </bottom>
      <diagonal/>
    </border>
    <border>
      <left/>
      <right style="thin">
        <color theme="3" tint="0.24994659260841701"/>
      </right>
      <top style="thin">
        <color theme="2"/>
      </top>
      <bottom style="thin">
        <color theme="2"/>
      </bottom>
      <diagonal/>
    </border>
    <border>
      <left style="thick">
        <color auto="1"/>
      </left>
      <right style="thin">
        <color theme="2"/>
      </right>
      <top style="thick">
        <color auto="1"/>
      </top>
      <bottom style="thin">
        <color theme="2"/>
      </bottom>
      <diagonal/>
    </border>
    <border>
      <left style="thin">
        <color theme="2"/>
      </left>
      <right style="thin">
        <color theme="2"/>
      </right>
      <top style="thick">
        <color auto="1"/>
      </top>
      <bottom style="thin">
        <color theme="2"/>
      </bottom>
      <diagonal/>
    </border>
    <border>
      <left style="thin">
        <color theme="2"/>
      </left>
      <right style="thick">
        <color auto="1"/>
      </right>
      <top style="thick">
        <color auto="1"/>
      </top>
      <bottom style="thin">
        <color theme="2"/>
      </bottom>
      <diagonal/>
    </border>
    <border>
      <left style="thick">
        <color auto="1"/>
      </left>
      <right style="thin">
        <color theme="2"/>
      </right>
      <top style="thin">
        <color theme="2"/>
      </top>
      <bottom style="thin">
        <color theme="2"/>
      </bottom>
      <diagonal/>
    </border>
    <border>
      <left style="thin">
        <color theme="2"/>
      </left>
      <right style="thick">
        <color auto="1"/>
      </right>
      <top style="thin">
        <color theme="2"/>
      </top>
      <bottom style="thin">
        <color theme="2"/>
      </bottom>
      <diagonal/>
    </border>
    <border>
      <left style="thick">
        <color auto="1"/>
      </left>
      <right style="thin">
        <color theme="2"/>
      </right>
      <top style="thin">
        <color theme="2"/>
      </top>
      <bottom style="thick">
        <color auto="1"/>
      </bottom>
      <diagonal/>
    </border>
    <border>
      <left style="thin">
        <color theme="2"/>
      </left>
      <right style="thin">
        <color theme="2"/>
      </right>
      <top style="thin">
        <color theme="2"/>
      </top>
      <bottom style="thick">
        <color auto="1"/>
      </bottom>
      <diagonal/>
    </border>
    <border>
      <left style="thin">
        <color theme="2"/>
      </left>
      <right style="thick">
        <color auto="1"/>
      </right>
      <top style="thin">
        <color theme="2"/>
      </top>
      <bottom style="thick">
        <color auto="1"/>
      </bottom>
      <diagonal/>
    </border>
    <border>
      <left style="thin">
        <color indexed="64"/>
      </left>
      <right style="thin">
        <color theme="2"/>
      </right>
      <top style="thin">
        <color indexed="64"/>
      </top>
      <bottom style="thin">
        <color indexed="64"/>
      </bottom>
      <diagonal/>
    </border>
    <border>
      <left style="thin">
        <color theme="2"/>
      </left>
      <right style="thin">
        <color indexed="64"/>
      </right>
      <top style="thin">
        <color indexed="64"/>
      </top>
      <bottom style="thin">
        <color indexed="64"/>
      </bottom>
      <diagonal/>
    </border>
    <border>
      <left style="medium">
        <color theme="3"/>
      </left>
      <right/>
      <top style="medium">
        <color indexed="64"/>
      </top>
      <bottom/>
      <diagonal/>
    </border>
    <border>
      <left style="medium">
        <color theme="3"/>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dotted">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style="medium">
        <color indexed="64"/>
      </left>
      <right style="thin">
        <color theme="0" tint="-0.249977111117893"/>
      </right>
      <top style="thin">
        <color theme="0" tint="-0.249977111117893"/>
      </top>
      <bottom style="thin">
        <color indexed="64"/>
      </bottom>
      <diagonal/>
    </border>
    <border>
      <left/>
      <right style="thin">
        <color theme="0" tint="-0.249977111117893"/>
      </right>
      <top style="thin">
        <color theme="0" tint="-0.249977111117893"/>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right/>
      <top style="thin">
        <color indexed="64"/>
      </top>
      <bottom/>
      <diagonal/>
    </border>
    <border>
      <left/>
      <right style="thin">
        <color indexed="64"/>
      </right>
      <top/>
      <bottom style="thin">
        <color indexed="64"/>
      </bottom>
      <diagonal/>
    </border>
    <border>
      <left/>
      <right style="thin">
        <color indexed="64"/>
      </right>
      <top style="thin">
        <color theme="0" tint="-0.249977111117893"/>
      </top>
      <bottom style="medium">
        <color theme="3"/>
      </bottom>
      <diagonal/>
    </border>
    <border>
      <left/>
      <right style="thin">
        <color indexed="64"/>
      </right>
      <top style="thin">
        <color theme="0" tint="-0.249977111117893"/>
      </top>
      <bottom style="thin">
        <color indexed="64"/>
      </bottom>
      <diagonal/>
    </border>
    <border>
      <left/>
      <right style="medium">
        <color indexed="64"/>
      </right>
      <top/>
      <bottom style="thin">
        <color indexed="64"/>
      </bottom>
      <diagonal/>
    </border>
    <border>
      <left/>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top style="thin">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theme="3" tint="0.24994659260841701"/>
      </right>
      <top style="medium">
        <color indexed="64"/>
      </top>
      <bottom style="medium">
        <color theme="3"/>
      </bottom>
      <diagonal/>
    </border>
    <border>
      <left style="thin">
        <color theme="3" tint="0.24994659260841701"/>
      </left>
      <right style="thin">
        <color theme="3" tint="0.24994659260841701"/>
      </right>
      <top style="medium">
        <color indexed="64"/>
      </top>
      <bottom style="medium">
        <color theme="3"/>
      </bottom>
      <diagonal/>
    </border>
    <border>
      <left style="thin">
        <color theme="3" tint="0.24994659260841701"/>
      </left>
      <right style="medium">
        <color indexed="64"/>
      </right>
      <top style="medium">
        <color indexed="64"/>
      </top>
      <bottom style="medium">
        <color theme="3"/>
      </bottom>
      <diagonal/>
    </border>
    <border>
      <left/>
      <right style="medium">
        <color indexed="64"/>
      </right>
      <top style="thin">
        <color theme="0" tint="-0.249977111117893"/>
      </top>
      <bottom style="thin">
        <color theme="0" tint="-0.249977111117893"/>
      </bottom>
      <diagonal/>
    </border>
    <border>
      <left style="thin">
        <color theme="0" tint="-0.249977111117893"/>
      </left>
      <right style="medium">
        <color indexed="64"/>
      </right>
      <top style="thin">
        <color theme="0" tint="-0.249977111117893"/>
      </top>
      <bottom style="thin">
        <color theme="0" tint="-0.249977111117893"/>
      </bottom>
      <diagonal/>
    </border>
    <border>
      <left style="thin">
        <color theme="0" tint="-0.249977111117893"/>
      </left>
      <right style="medium">
        <color indexed="64"/>
      </right>
      <top style="thin">
        <color theme="0" tint="-0.249977111117893"/>
      </top>
      <bottom style="medium">
        <color theme="3"/>
      </bottom>
      <diagonal/>
    </border>
    <border>
      <left style="thin">
        <color theme="0" tint="-0.249977111117893"/>
      </left>
      <right style="medium">
        <color indexed="64"/>
      </right>
      <top style="thin">
        <color theme="0" tint="-0.249977111117893"/>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theme="3" tint="0.24994659260841701"/>
      </right>
      <top style="medium">
        <color indexed="64"/>
      </top>
      <bottom style="medium">
        <color theme="3"/>
      </bottom>
      <diagonal/>
    </border>
  </borders>
  <cellStyleXfs count="5">
    <xf numFmtId="0" fontId="0" fillId="0" borderId="0"/>
    <xf numFmtId="9" fontId="4" fillId="0" borderId="0" applyFill="0" applyBorder="0" applyAlignment="0" applyProtection="0"/>
    <xf numFmtId="0" fontId="9" fillId="0" borderId="0" applyNumberFormat="0" applyFill="0" applyBorder="0" applyAlignment="0" applyProtection="0"/>
    <xf numFmtId="164" fontId="4" fillId="0" borderId="0" applyFont="0" applyFill="0" applyBorder="0" applyAlignment="0" applyProtection="0"/>
    <xf numFmtId="44" fontId="4" fillId="0" borderId="0" applyFont="0" applyFill="0" applyBorder="0" applyAlignment="0" applyProtection="0"/>
  </cellStyleXfs>
  <cellXfs count="688">
    <xf numFmtId="0" fontId="0" fillId="0" borderId="0" xfId="0"/>
    <xf numFmtId="3" fontId="0" fillId="0" borderId="0" xfId="0" applyNumberFormat="1"/>
    <xf numFmtId="0" fontId="3" fillId="2" borderId="0" xfId="0" applyFont="1" applyFill="1" applyAlignment="1">
      <alignment vertical="top" wrapText="1"/>
    </xf>
    <xf numFmtId="0" fontId="11" fillId="0" borderId="0" xfId="0" applyFont="1"/>
    <xf numFmtId="0" fontId="11" fillId="4" borderId="0" xfId="0" applyFont="1" applyFill="1"/>
    <xf numFmtId="173" fontId="11" fillId="0" borderId="0" xfId="0" applyNumberFormat="1" applyFont="1"/>
    <xf numFmtId="0" fontId="13" fillId="0" borderId="0" xfId="0" applyFont="1"/>
    <xf numFmtId="0" fontId="12" fillId="0" borderId="0" xfId="0" applyFont="1"/>
    <xf numFmtId="167" fontId="11" fillId="7" borderId="0" xfId="0" applyNumberFormat="1" applyFont="1" applyFill="1"/>
    <xf numFmtId="0" fontId="15" fillId="8" borderId="6" xfId="0" applyFont="1" applyFill="1" applyBorder="1" applyAlignment="1">
      <alignment horizontal="left" vertical="center"/>
    </xf>
    <xf numFmtId="0" fontId="15" fillId="8" borderId="7" xfId="0" applyFont="1" applyFill="1" applyBorder="1" applyAlignment="1">
      <alignment horizontal="left" vertical="center"/>
    </xf>
    <xf numFmtId="0" fontId="16" fillId="9" borderId="8" xfId="0" applyFont="1" applyFill="1" applyBorder="1"/>
    <xf numFmtId="10" fontId="16" fillId="10" borderId="9" xfId="0" applyNumberFormat="1" applyFont="1" applyFill="1" applyBorder="1" applyAlignment="1">
      <alignment horizontal="center"/>
    </xf>
    <xf numFmtId="0" fontId="16" fillId="9" borderId="10" xfId="0" applyFont="1" applyFill="1" applyBorder="1"/>
    <xf numFmtId="10" fontId="16" fillId="10" borderId="11" xfId="0" applyNumberFormat="1" applyFont="1" applyFill="1" applyBorder="1" applyAlignment="1">
      <alignment horizontal="center"/>
    </xf>
    <xf numFmtId="0" fontId="16" fillId="9" borderId="13" xfId="0" applyFont="1" applyFill="1" applyBorder="1"/>
    <xf numFmtId="10" fontId="16" fillId="10" borderId="14" xfId="0" applyNumberFormat="1" applyFont="1" applyFill="1" applyBorder="1" applyAlignment="1">
      <alignment horizontal="center"/>
    </xf>
    <xf numFmtId="0" fontId="16" fillId="9" borderId="0" xfId="0" applyFont="1" applyFill="1"/>
    <xf numFmtId="0" fontId="11" fillId="0" borderId="0" xfId="0" applyFont="1" applyAlignment="1">
      <alignment horizontal="left" vertical="center"/>
    </xf>
    <xf numFmtId="0" fontId="18" fillId="4" borderId="0" xfId="0" applyFont="1" applyFill="1"/>
    <xf numFmtId="0" fontId="11" fillId="0" borderId="0" xfId="0" applyFont="1" applyAlignment="1">
      <alignment horizontal="right"/>
    </xf>
    <xf numFmtId="167" fontId="11" fillId="0" borderId="0" xfId="0" applyNumberFormat="1" applyFont="1"/>
    <xf numFmtId="0" fontId="11" fillId="0" borderId="0" xfId="0" applyFont="1" applyAlignment="1">
      <alignment horizontal="left"/>
    </xf>
    <xf numFmtId="2" fontId="11" fillId="0" borderId="0" xfId="0" applyNumberFormat="1" applyFont="1"/>
    <xf numFmtId="10" fontId="11" fillId="0" borderId="0" xfId="0" applyNumberFormat="1" applyFont="1"/>
    <xf numFmtId="0" fontId="11" fillId="0" borderId="0" xfId="0" quotePrefix="1" applyFont="1"/>
    <xf numFmtId="0" fontId="11" fillId="0" borderId="19" xfId="0" applyFont="1" applyBorder="1"/>
    <xf numFmtId="166" fontId="11" fillId="4" borderId="19" xfId="0" applyNumberFormat="1" applyFont="1" applyFill="1" applyBorder="1"/>
    <xf numFmtId="0" fontId="21" fillId="8" borderId="19" xfId="0" applyFont="1" applyFill="1" applyBorder="1"/>
    <xf numFmtId="167" fontId="13" fillId="7" borderId="19" xfId="0" applyNumberFormat="1" applyFont="1" applyFill="1" applyBorder="1"/>
    <xf numFmtId="167" fontId="11" fillId="4" borderId="19" xfId="0" applyNumberFormat="1" applyFont="1" applyFill="1" applyBorder="1"/>
    <xf numFmtId="167" fontId="11" fillId="7" borderId="19" xfId="0" applyNumberFormat="1" applyFont="1" applyFill="1" applyBorder="1"/>
    <xf numFmtId="0" fontId="13" fillId="0" borderId="19" xfId="0" applyFont="1" applyBorder="1"/>
    <xf numFmtId="167" fontId="13" fillId="0" borderId="19" xfId="0" applyNumberFormat="1" applyFont="1" applyBorder="1"/>
    <xf numFmtId="171" fontId="11" fillId="0" borderId="19" xfId="0" applyNumberFormat="1" applyFont="1" applyBorder="1"/>
    <xf numFmtId="174" fontId="11" fillId="0" borderId="19" xfId="4" applyNumberFormat="1" applyFont="1" applyBorder="1" applyAlignment="1">
      <alignment horizontal="right"/>
    </xf>
    <xf numFmtId="10" fontId="11" fillId="4" borderId="19" xfId="1" applyNumberFormat="1" applyFont="1" applyFill="1" applyBorder="1"/>
    <xf numFmtId="10" fontId="11" fillId="4" borderId="19" xfId="0" applyNumberFormat="1" applyFont="1" applyFill="1" applyBorder="1"/>
    <xf numFmtId="10" fontId="11" fillId="7" borderId="19" xfId="0" applyNumberFormat="1" applyFont="1" applyFill="1" applyBorder="1"/>
    <xf numFmtId="167" fontId="11" fillId="0" borderId="19" xfId="0" applyNumberFormat="1" applyFont="1" applyBorder="1"/>
    <xf numFmtId="167" fontId="11" fillId="7" borderId="19" xfId="0" applyNumberFormat="1" applyFont="1" applyFill="1" applyBorder="1" applyAlignment="1">
      <alignment horizontal="right" vertical="center"/>
    </xf>
    <xf numFmtId="0" fontId="21" fillId="8" borderId="19" xfId="0" applyFont="1" applyFill="1" applyBorder="1" applyAlignment="1">
      <alignment horizontal="left" wrapText="1"/>
    </xf>
    <xf numFmtId="168" fontId="11" fillId="0" borderId="19" xfId="0" applyNumberFormat="1" applyFont="1" applyBorder="1"/>
    <xf numFmtId="0" fontId="13" fillId="12" borderId="19" xfId="0" applyFont="1" applyFill="1" applyBorder="1"/>
    <xf numFmtId="10" fontId="11" fillId="0" borderId="19" xfId="0" applyNumberFormat="1" applyFont="1" applyBorder="1"/>
    <xf numFmtId="10" fontId="13" fillId="3" borderId="19" xfId="0" applyNumberFormat="1" applyFont="1" applyFill="1" applyBorder="1"/>
    <xf numFmtId="169" fontId="11" fillId="0" borderId="19" xfId="0" applyNumberFormat="1" applyFont="1" applyBorder="1"/>
    <xf numFmtId="0" fontId="13" fillId="12" borderId="19" xfId="0" applyFont="1" applyFill="1" applyBorder="1" applyAlignment="1">
      <alignment horizontal="left" vertical="center"/>
    </xf>
    <xf numFmtId="0" fontId="11" fillId="0" borderId="19" xfId="0" applyFont="1" applyBorder="1" applyAlignment="1">
      <alignment horizontal="center" wrapText="1"/>
    </xf>
    <xf numFmtId="167" fontId="11" fillId="4" borderId="19" xfId="0" applyNumberFormat="1" applyFont="1" applyFill="1" applyBorder="1" applyAlignment="1">
      <alignment horizontal="center" vertical="center"/>
    </xf>
    <xf numFmtId="172" fontId="11" fillId="0" borderId="19" xfId="3" applyNumberFormat="1" applyFont="1" applyBorder="1" applyAlignment="1">
      <alignment horizontal="center"/>
    </xf>
    <xf numFmtId="0" fontId="23" fillId="5" borderId="0" xfId="0" applyFont="1" applyFill="1"/>
    <xf numFmtId="0" fontId="24" fillId="5" borderId="0" xfId="0" applyFont="1" applyFill="1"/>
    <xf numFmtId="0" fontId="24" fillId="0" borderId="0" xfId="0" applyFont="1"/>
    <xf numFmtId="0" fontId="24" fillId="4" borderId="0" xfId="0" applyFont="1" applyFill="1"/>
    <xf numFmtId="0" fontId="14" fillId="2" borderId="0" xfId="0" applyFont="1" applyFill="1"/>
    <xf numFmtId="0" fontId="14" fillId="6" borderId="0" xfId="0" applyFont="1" applyFill="1"/>
    <xf numFmtId="0" fontId="27" fillId="0" borderId="0" xfId="2" applyFont="1"/>
    <xf numFmtId="175" fontId="11" fillId="4" borderId="19" xfId="0" applyNumberFormat="1" applyFont="1" applyFill="1" applyBorder="1"/>
    <xf numFmtId="0" fontId="19" fillId="4" borderId="0" xfId="0" applyFont="1" applyFill="1"/>
    <xf numFmtId="0" fontId="19" fillId="6" borderId="0" xfId="0" applyFont="1" applyFill="1"/>
    <xf numFmtId="0" fontId="24" fillId="2" borderId="0" xfId="0" applyFont="1" applyFill="1"/>
    <xf numFmtId="0" fontId="28" fillId="6" borderId="0" xfId="0" applyFont="1" applyFill="1"/>
    <xf numFmtId="0" fontId="25" fillId="4" borderId="0" xfId="0" applyFont="1" applyFill="1"/>
    <xf numFmtId="0" fontId="25" fillId="6" borderId="0" xfId="0" applyFont="1" applyFill="1"/>
    <xf numFmtId="0" fontId="0" fillId="9" borderId="0" xfId="0" applyFill="1"/>
    <xf numFmtId="0" fontId="15" fillId="8" borderId="22" xfId="0" applyFont="1" applyFill="1" applyBorder="1" applyAlignment="1">
      <alignment horizontal="center"/>
    </xf>
    <xf numFmtId="1" fontId="15" fillId="8" borderId="23" xfId="0" applyNumberFormat="1" applyFont="1" applyFill="1" applyBorder="1" applyAlignment="1">
      <alignment horizontal="center"/>
    </xf>
    <xf numFmtId="0" fontId="10" fillId="9" borderId="0" xfId="0" applyFont="1" applyFill="1" applyAlignment="1">
      <alignment horizontal="center"/>
    </xf>
    <xf numFmtId="0" fontId="16" fillId="0" borderId="0" xfId="0" applyFont="1"/>
    <xf numFmtId="3" fontId="16" fillId="7" borderId="0" xfId="0" applyNumberFormat="1" applyFont="1" applyFill="1" applyAlignment="1">
      <alignment horizontal="center"/>
    </xf>
    <xf numFmtId="0" fontId="16" fillId="0" borderId="26" xfId="0" applyFont="1" applyBorder="1"/>
    <xf numFmtId="0" fontId="16" fillId="0" borderId="27" xfId="0" applyFont="1" applyBorder="1"/>
    <xf numFmtId="0" fontId="16" fillId="0" borderId="28" xfId="0" applyFont="1" applyBorder="1"/>
    <xf numFmtId="0" fontId="16" fillId="0" borderId="29" xfId="0" applyFont="1" applyBorder="1"/>
    <xf numFmtId="0" fontId="16" fillId="0" borderId="30" xfId="0" applyFont="1" applyBorder="1"/>
    <xf numFmtId="1" fontId="15" fillId="8" borderId="31" xfId="0" applyNumberFormat="1" applyFont="1" applyFill="1" applyBorder="1" applyAlignment="1">
      <alignment horizontal="center"/>
    </xf>
    <xf numFmtId="0" fontId="16" fillId="0" borderId="36" xfId="0" applyFont="1" applyBorder="1"/>
    <xf numFmtId="0" fontId="16" fillId="0" borderId="39" xfId="0" applyFont="1" applyBorder="1" applyAlignment="1">
      <alignment horizontal="left" indent="1"/>
    </xf>
    <xf numFmtId="175" fontId="16" fillId="7" borderId="38" xfId="0" applyNumberFormat="1" applyFont="1" applyFill="1" applyBorder="1" applyAlignment="1">
      <alignment horizontal="center"/>
    </xf>
    <xf numFmtId="175" fontId="16" fillId="4" borderId="40" xfId="0" applyNumberFormat="1" applyFont="1" applyFill="1" applyBorder="1" applyAlignment="1">
      <alignment horizontal="center"/>
    </xf>
    <xf numFmtId="0" fontId="21" fillId="8" borderId="19" xfId="0" applyFont="1" applyFill="1" applyBorder="1" applyAlignment="1">
      <alignment vertical="center" wrapText="1"/>
    </xf>
    <xf numFmtId="9" fontId="11" fillId="3" borderId="19" xfId="0" applyNumberFormat="1" applyFont="1" applyFill="1" applyBorder="1" applyAlignment="1">
      <alignment vertical="center"/>
    </xf>
    <xf numFmtId="1" fontId="29" fillId="8" borderId="43" xfId="0" applyNumberFormat="1" applyFont="1" applyFill="1" applyBorder="1" applyAlignment="1">
      <alignment horizontal="center"/>
    </xf>
    <xf numFmtId="1" fontId="29" fillId="8" borderId="44" xfId="0" applyNumberFormat="1" applyFont="1" applyFill="1" applyBorder="1" applyAlignment="1">
      <alignment horizontal="center"/>
    </xf>
    <xf numFmtId="0" fontId="29" fillId="8" borderId="45" xfId="0" applyFont="1" applyFill="1" applyBorder="1" applyAlignment="1">
      <alignment horizontal="center"/>
    </xf>
    <xf numFmtId="0" fontId="16" fillId="7" borderId="42" xfId="0" applyFont="1" applyFill="1" applyBorder="1" applyAlignment="1">
      <alignment horizontal="right"/>
    </xf>
    <xf numFmtId="0" fontId="16" fillId="0" borderId="49" xfId="0" applyFont="1" applyBorder="1"/>
    <xf numFmtId="176" fontId="16" fillId="7" borderId="50" xfId="4" applyNumberFormat="1" applyFont="1" applyFill="1" applyBorder="1" applyAlignment="1" applyProtection="1"/>
    <xf numFmtId="0" fontId="16" fillId="0" borderId="51" xfId="0" applyFont="1" applyBorder="1"/>
    <xf numFmtId="175" fontId="16" fillId="7" borderId="52" xfId="0" applyNumberFormat="1" applyFont="1" applyFill="1" applyBorder="1" applyAlignment="1">
      <alignment horizontal="center"/>
    </xf>
    <xf numFmtId="0" fontId="16" fillId="7" borderId="52" xfId="0" applyFont="1" applyFill="1" applyBorder="1" applyAlignment="1">
      <alignment horizontal="left" indent="1"/>
    </xf>
    <xf numFmtId="175" fontId="16" fillId="7" borderId="53" xfId="0" applyNumberFormat="1" applyFont="1" applyFill="1" applyBorder="1" applyAlignment="1">
      <alignment horizontal="center"/>
    </xf>
    <xf numFmtId="44" fontId="12" fillId="14" borderId="54" xfId="4" applyFont="1" applyFill="1" applyBorder="1"/>
    <xf numFmtId="0" fontId="12" fillId="14" borderId="55" xfId="0" applyFont="1" applyFill="1" applyBorder="1"/>
    <xf numFmtId="1" fontId="11" fillId="4" borderId="19" xfId="0" applyNumberFormat="1" applyFont="1" applyFill="1" applyBorder="1" applyAlignment="1">
      <alignment horizontal="center"/>
    </xf>
    <xf numFmtId="0" fontId="9" fillId="0" borderId="0" xfId="2"/>
    <xf numFmtId="0" fontId="32" fillId="0" borderId="0" xfId="2" applyFont="1" applyProtection="1">
      <protection hidden="1"/>
    </xf>
    <xf numFmtId="0" fontId="15" fillId="8" borderId="56" xfId="0" applyFont="1" applyFill="1" applyBorder="1" applyAlignment="1">
      <alignment horizontal="left" vertical="center"/>
    </xf>
    <xf numFmtId="0" fontId="15" fillId="8" borderId="57" xfId="0" applyFont="1" applyFill="1" applyBorder="1" applyAlignment="1">
      <alignment horizontal="left" vertical="center"/>
    </xf>
    <xf numFmtId="0" fontId="0" fillId="0" borderId="19" xfId="0" applyBorder="1" applyAlignment="1">
      <alignment vertical="center"/>
    </xf>
    <xf numFmtId="0" fontId="0" fillId="0" borderId="58" xfId="0" applyBorder="1" applyAlignment="1">
      <alignment vertical="center"/>
    </xf>
    <xf numFmtId="0" fontId="0" fillId="0" borderId="59" xfId="0" applyBorder="1" applyAlignment="1">
      <alignment vertical="center"/>
    </xf>
    <xf numFmtId="0" fontId="0" fillId="0" borderId="60" xfId="0" applyBorder="1" applyAlignment="1">
      <alignment vertical="center"/>
    </xf>
    <xf numFmtId="0" fontId="30" fillId="15" borderId="0" xfId="0" applyFont="1" applyFill="1"/>
    <xf numFmtId="0" fontId="24" fillId="16" borderId="0" xfId="0" applyFont="1" applyFill="1"/>
    <xf numFmtId="0" fontId="31" fillId="16" borderId="0" xfId="0" applyFont="1" applyFill="1" applyAlignment="1">
      <alignment horizontal="left"/>
    </xf>
    <xf numFmtId="0" fontId="11" fillId="16" borderId="0" xfId="0" applyFont="1" applyFill="1"/>
    <xf numFmtId="10" fontId="0" fillId="0" borderId="19" xfId="0" applyNumberFormat="1" applyBorder="1" applyAlignment="1">
      <alignment horizontal="center" vertical="center"/>
    </xf>
    <xf numFmtId="10" fontId="0" fillId="0" borderId="19" xfId="1" applyNumberFormat="1" applyFont="1" applyBorder="1" applyAlignment="1">
      <alignment horizontal="center" vertical="center"/>
    </xf>
    <xf numFmtId="10" fontId="0" fillId="0" borderId="59" xfId="1" applyNumberFormat="1" applyFont="1" applyBorder="1" applyAlignment="1">
      <alignment horizontal="center" vertical="center"/>
    </xf>
    <xf numFmtId="0" fontId="2" fillId="0" borderId="0" xfId="0" applyFont="1"/>
    <xf numFmtId="0" fontId="16" fillId="7" borderId="42" xfId="0" applyFont="1" applyFill="1" applyBorder="1" applyAlignment="1">
      <alignment horizontal="left"/>
    </xf>
    <xf numFmtId="177" fontId="11" fillId="7" borderId="19" xfId="3" applyNumberFormat="1" applyFont="1" applyFill="1" applyBorder="1"/>
    <xf numFmtId="167" fontId="11" fillId="7" borderId="19" xfId="0" applyNumberFormat="1" applyFont="1" applyFill="1" applyBorder="1" applyAlignment="1">
      <alignment horizontal="center" vertical="center"/>
    </xf>
    <xf numFmtId="167" fontId="11" fillId="4" borderId="19" xfId="0" applyNumberFormat="1" applyFont="1" applyFill="1" applyBorder="1" applyAlignment="1">
      <alignment horizontal="right" vertical="center"/>
    </xf>
    <xf numFmtId="0" fontId="24" fillId="0" borderId="0" xfId="0" applyFont="1" applyAlignment="1">
      <alignment wrapText="1"/>
    </xf>
    <xf numFmtId="0" fontId="24" fillId="2" borderId="0" xfId="0" applyFont="1" applyFill="1" applyAlignment="1">
      <alignment horizontal="left" vertical="top" indent="2"/>
    </xf>
    <xf numFmtId="0" fontId="24" fillId="12" borderId="0" xfId="0" applyFont="1" applyFill="1"/>
    <xf numFmtId="0" fontId="24" fillId="18" borderId="0" xfId="0" applyFont="1" applyFill="1"/>
    <xf numFmtId="0" fontId="26" fillId="18" borderId="0" xfId="0" applyFont="1" applyFill="1"/>
    <xf numFmtId="0" fontId="38" fillId="18" borderId="0" xfId="0" applyFont="1" applyFill="1"/>
    <xf numFmtId="0" fontId="39" fillId="0" borderId="0" xfId="2" applyFont="1"/>
    <xf numFmtId="0" fontId="14" fillId="17" borderId="0" xfId="0" applyFont="1" applyFill="1" applyAlignment="1">
      <alignment horizontal="center"/>
    </xf>
    <xf numFmtId="0" fontId="14" fillId="0" borderId="0" xfId="0" applyFont="1"/>
    <xf numFmtId="0" fontId="40" fillId="0" borderId="0" xfId="0" applyFont="1"/>
    <xf numFmtId="0" fontId="14" fillId="19" borderId="0" xfId="0" applyFont="1" applyFill="1"/>
    <xf numFmtId="0" fontId="24" fillId="7" borderId="0" xfId="0" applyFont="1" applyFill="1"/>
    <xf numFmtId="0" fontId="4" fillId="0" borderId="65" xfId="0" applyFont="1" applyBorder="1" applyAlignment="1">
      <alignment horizontal="center"/>
    </xf>
    <xf numFmtId="0" fontId="35" fillId="20" borderId="19" xfId="0" applyFont="1" applyFill="1" applyBorder="1" applyAlignment="1">
      <alignment horizontal="center" vertical="top"/>
    </xf>
    <xf numFmtId="0" fontId="35" fillId="20" borderId="19" xfId="0" applyFont="1" applyFill="1" applyBorder="1"/>
    <xf numFmtId="0" fontId="35" fillId="20" borderId="19" xfId="0" applyFont="1" applyFill="1" applyBorder="1" applyAlignment="1">
      <alignment horizontal="center"/>
    </xf>
    <xf numFmtId="0" fontId="0" fillId="0" borderId="19" xfId="0" applyBorder="1" applyAlignment="1">
      <alignment horizontal="center" vertical="center"/>
    </xf>
    <xf numFmtId="14" fontId="0" fillId="0" borderId="19" xfId="0" applyNumberFormat="1" applyBorder="1" applyAlignment="1">
      <alignment horizontal="center" vertical="center"/>
    </xf>
    <xf numFmtId="0" fontId="0" fillId="0" borderId="19" xfId="0" applyBorder="1" applyAlignment="1">
      <alignment vertical="top" wrapText="1"/>
    </xf>
    <xf numFmtId="0" fontId="0" fillId="0" borderId="19" xfId="0" applyBorder="1" applyAlignment="1">
      <alignment vertical="center" wrapText="1"/>
    </xf>
    <xf numFmtId="178" fontId="4" fillId="21" borderId="19" xfId="0" applyNumberFormat="1" applyFont="1" applyFill="1" applyBorder="1"/>
    <xf numFmtId="3" fontId="4" fillId="7" borderId="24" xfId="1" applyNumberFormat="1" applyFill="1" applyBorder="1" applyAlignment="1" applyProtection="1">
      <alignment horizontal="center"/>
    </xf>
    <xf numFmtId="3" fontId="4" fillId="7" borderId="16" xfId="1" applyNumberFormat="1" applyFill="1" applyBorder="1" applyAlignment="1" applyProtection="1">
      <alignment horizontal="center"/>
    </xf>
    <xf numFmtId="3" fontId="4" fillId="7" borderId="32" xfId="1" applyNumberFormat="1" applyFill="1" applyBorder="1" applyAlignment="1" applyProtection="1">
      <alignment horizontal="center"/>
    </xf>
    <xf numFmtId="3" fontId="4" fillId="7" borderId="17" xfId="1" applyNumberFormat="1" applyFill="1" applyBorder="1" applyAlignment="1" applyProtection="1">
      <alignment horizontal="center"/>
    </xf>
    <xf numFmtId="178" fontId="20" fillId="7" borderId="24" xfId="1" applyNumberFormat="1" applyFont="1" applyFill="1" applyBorder="1" applyAlignment="1" applyProtection="1">
      <alignment horizontal="center"/>
    </xf>
    <xf numFmtId="178" fontId="20" fillId="7" borderId="16" xfId="1" applyNumberFormat="1" applyFont="1" applyFill="1" applyBorder="1" applyAlignment="1" applyProtection="1">
      <alignment horizontal="center"/>
    </xf>
    <xf numFmtId="178" fontId="20" fillId="7" borderId="32" xfId="1" applyNumberFormat="1" applyFont="1" applyFill="1" applyBorder="1" applyAlignment="1" applyProtection="1">
      <alignment horizontal="center"/>
    </xf>
    <xf numFmtId="178" fontId="16" fillId="7" borderId="17" xfId="4" applyNumberFormat="1" applyFont="1" applyFill="1" applyBorder="1" applyAlignment="1" applyProtection="1">
      <alignment horizontal="center"/>
    </xf>
    <xf numFmtId="178" fontId="16" fillId="7" borderId="18" xfId="4" applyNumberFormat="1" applyFont="1" applyFill="1" applyBorder="1" applyAlignment="1" applyProtection="1">
      <alignment horizontal="center"/>
    </xf>
    <xf numFmtId="0" fontId="0" fillId="0" borderId="65" xfId="0" applyBorder="1" applyAlignment="1">
      <alignment horizontal="center"/>
    </xf>
    <xf numFmtId="0" fontId="42" fillId="21" borderId="62" xfId="0" applyFont="1" applyFill="1" applyBorder="1" applyAlignment="1">
      <alignment horizontal="center"/>
    </xf>
    <xf numFmtId="0" fontId="42" fillId="21" borderId="63" xfId="0" applyFont="1" applyFill="1" applyBorder="1" applyAlignment="1">
      <alignment horizontal="center"/>
    </xf>
    <xf numFmtId="0" fontId="42" fillId="21" borderId="64" xfId="0" applyFont="1" applyFill="1" applyBorder="1" applyAlignment="1">
      <alignment horizontal="center"/>
    </xf>
    <xf numFmtId="0" fontId="7" fillId="2" borderId="19" xfId="0" quotePrefix="1" applyFont="1" applyFill="1" applyBorder="1" applyAlignment="1" applyProtection="1">
      <alignment horizontal="center"/>
      <protection locked="0"/>
    </xf>
    <xf numFmtId="3" fontId="4" fillId="7" borderId="72" xfId="1" applyNumberFormat="1" applyFill="1" applyBorder="1" applyAlignment="1" applyProtection="1">
      <alignment horizontal="center"/>
    </xf>
    <xf numFmtId="0" fontId="42" fillId="22" borderId="62" xfId="0" applyFont="1" applyFill="1" applyBorder="1" applyAlignment="1">
      <alignment horizontal="center"/>
    </xf>
    <xf numFmtId="0" fontId="42" fillId="22" borderId="63" xfId="0" applyFont="1" applyFill="1" applyBorder="1" applyAlignment="1">
      <alignment horizontal="center"/>
    </xf>
    <xf numFmtId="0" fontId="42" fillId="22" borderId="64" xfId="0" applyFont="1" applyFill="1" applyBorder="1" applyAlignment="1">
      <alignment horizontal="center"/>
    </xf>
    <xf numFmtId="178" fontId="4" fillId="22" borderId="19" xfId="0" applyNumberFormat="1" applyFont="1" applyFill="1" applyBorder="1"/>
    <xf numFmtId="0" fontId="43" fillId="26" borderId="62" xfId="0" applyFont="1" applyFill="1" applyBorder="1" applyAlignment="1">
      <alignment horizontal="center"/>
    </xf>
    <xf numFmtId="0" fontId="43" fillId="26" borderId="63" xfId="0" applyFont="1" applyFill="1" applyBorder="1" applyAlignment="1">
      <alignment horizontal="center"/>
    </xf>
    <xf numFmtId="0" fontId="43" fillId="26" borderId="64" xfId="0" applyFont="1" applyFill="1" applyBorder="1" applyAlignment="1">
      <alignment horizontal="center"/>
    </xf>
    <xf numFmtId="170" fontId="0" fillId="26" borderId="19" xfId="0" applyNumberFormat="1" applyFill="1" applyBorder="1"/>
    <xf numFmtId="0" fontId="45" fillId="6" borderId="0" xfId="0" applyFont="1" applyFill="1"/>
    <xf numFmtId="3" fontId="46" fillId="6" borderId="0" xfId="0" applyNumberFormat="1" applyFont="1" applyFill="1" applyProtection="1">
      <protection locked="0"/>
    </xf>
    <xf numFmtId="0" fontId="46" fillId="6" borderId="0" xfId="0" applyFont="1" applyFill="1"/>
    <xf numFmtId="171" fontId="20" fillId="0" borderId="19" xfId="1" applyNumberFormat="1" applyFont="1" applyBorder="1" applyAlignment="1">
      <alignment horizontal="center"/>
    </xf>
    <xf numFmtId="0" fontId="47" fillId="2" borderId="0" xfId="0" quotePrefix="1" applyFont="1" applyFill="1" applyAlignment="1" applyProtection="1">
      <alignment horizontal="center"/>
      <protection locked="0"/>
    </xf>
    <xf numFmtId="0" fontId="48" fillId="0" borderId="0" xfId="0" applyFont="1"/>
    <xf numFmtId="0" fontId="46" fillId="2" borderId="0" xfId="0" applyFont="1" applyFill="1"/>
    <xf numFmtId="0" fontId="45" fillId="2" borderId="2" xfId="0" applyFont="1" applyFill="1" applyBorder="1"/>
    <xf numFmtId="0" fontId="45" fillId="2" borderId="3" xfId="0" applyFont="1" applyFill="1" applyBorder="1"/>
    <xf numFmtId="0" fontId="45" fillId="2" borderId="4" xfId="0" applyFont="1" applyFill="1" applyBorder="1"/>
    <xf numFmtId="0" fontId="45" fillId="2" borderId="5" xfId="0" applyFont="1" applyFill="1" applyBorder="1"/>
    <xf numFmtId="0" fontId="45" fillId="2" borderId="19" xfId="0" applyFont="1" applyFill="1" applyBorder="1" applyAlignment="1">
      <alignment horizontal="center" vertical="center"/>
    </xf>
    <xf numFmtId="0" fontId="46" fillId="2" borderId="19" xfId="0" applyFont="1" applyFill="1" applyBorder="1" applyAlignment="1">
      <alignment horizontal="center" vertical="center"/>
    </xf>
    <xf numFmtId="178" fontId="46" fillId="2" borderId="19" xfId="0" applyNumberFormat="1" applyFont="1" applyFill="1" applyBorder="1"/>
    <xf numFmtId="10" fontId="46" fillId="2" borderId="19" xfId="0" applyNumberFormat="1" applyFont="1" applyFill="1" applyBorder="1" applyAlignment="1">
      <alignment horizontal="center"/>
    </xf>
    <xf numFmtId="0" fontId="46" fillId="2" borderId="19" xfId="0" applyFont="1" applyFill="1" applyBorder="1"/>
    <xf numFmtId="171" fontId="48" fillId="0" borderId="19" xfId="1" applyNumberFormat="1" applyFont="1" applyBorder="1" applyAlignment="1">
      <alignment horizontal="center"/>
    </xf>
    <xf numFmtId="3" fontId="46" fillId="2" borderId="0" xfId="0" applyNumberFormat="1" applyFont="1" applyFill="1"/>
    <xf numFmtId="3" fontId="46" fillId="2" borderId="0" xfId="0" applyNumberFormat="1" applyFont="1" applyFill="1" applyAlignment="1" applyProtection="1">
      <alignment horizontal="center"/>
      <protection locked="0"/>
    </xf>
    <xf numFmtId="3" fontId="48" fillId="0" borderId="0" xfId="0" applyNumberFormat="1" applyFont="1"/>
    <xf numFmtId="171" fontId="48" fillId="0" borderId="1" xfId="1" applyNumberFormat="1" applyFont="1" applyFill="1" applyBorder="1" applyAlignment="1"/>
    <xf numFmtId="0" fontId="46" fillId="2" borderId="0" xfId="0" applyFont="1" applyFill="1" applyProtection="1">
      <protection locked="0"/>
    </xf>
    <xf numFmtId="0" fontId="46" fillId="2" borderId="0" xfId="0" applyFont="1" applyFill="1" applyAlignment="1" applyProtection="1">
      <alignment horizontal="center"/>
      <protection locked="0"/>
    </xf>
    <xf numFmtId="0" fontId="46" fillId="2" borderId="0" xfId="0" quotePrefix="1" applyFont="1" applyFill="1" applyAlignment="1" applyProtection="1">
      <alignment horizontal="center"/>
      <protection locked="0"/>
    </xf>
    <xf numFmtId="3" fontId="46" fillId="2" borderId="0" xfId="0" quotePrefix="1" applyNumberFormat="1" applyFont="1" applyFill="1" applyAlignment="1" applyProtection="1">
      <alignment horizontal="center"/>
      <protection locked="0"/>
    </xf>
    <xf numFmtId="3" fontId="46" fillId="2" borderId="0" xfId="0" applyNumberFormat="1" applyFont="1" applyFill="1" applyProtection="1">
      <protection locked="0"/>
    </xf>
    <xf numFmtId="0" fontId="49" fillId="0" borderId="0" xfId="0" applyFont="1"/>
    <xf numFmtId="0" fontId="43" fillId="0" borderId="0" xfId="0" applyFont="1"/>
    <xf numFmtId="0" fontId="48" fillId="2" borderId="0" xfId="0" applyFont="1" applyFill="1" applyAlignment="1">
      <alignment vertical="top" wrapText="1"/>
    </xf>
    <xf numFmtId="0" fontId="43" fillId="0" borderId="0" xfId="0" applyFont="1" applyAlignment="1">
      <alignment horizontal="center"/>
    </xf>
    <xf numFmtId="0" fontId="50" fillId="15" borderId="0" xfId="0" applyFont="1" applyFill="1"/>
    <xf numFmtId="0" fontId="48" fillId="16" borderId="0" xfId="0" applyFont="1" applyFill="1"/>
    <xf numFmtId="0" fontId="46" fillId="2" borderId="0" xfId="0" quotePrefix="1" applyFont="1" applyFill="1" applyAlignment="1" applyProtection="1">
      <alignment horizontal="left"/>
      <protection locked="0"/>
    </xf>
    <xf numFmtId="0" fontId="48" fillId="0" borderId="0" xfId="0" quotePrefix="1" applyFont="1" applyAlignment="1">
      <alignment horizontal="left"/>
    </xf>
    <xf numFmtId="0" fontId="51" fillId="6" borderId="0" xfId="0" applyFont="1" applyFill="1"/>
    <xf numFmtId="0" fontId="48" fillId="0" borderId="0" xfId="0" quotePrefix="1" applyFont="1"/>
    <xf numFmtId="3" fontId="52" fillId="2" borderId="0" xfId="0" applyNumberFormat="1" applyFont="1" applyFill="1" applyAlignment="1" applyProtection="1">
      <alignment horizontal="center"/>
      <protection locked="0"/>
    </xf>
    <xf numFmtId="0" fontId="44" fillId="24" borderId="62" xfId="0" applyFont="1" applyFill="1" applyBorder="1" applyAlignment="1">
      <alignment horizontal="center"/>
    </xf>
    <xf numFmtId="0" fontId="44" fillId="24" borderId="63" xfId="0" applyFont="1" applyFill="1" applyBorder="1" applyAlignment="1">
      <alignment horizontal="center"/>
    </xf>
    <xf numFmtId="0" fontId="44" fillId="24" borderId="64" xfId="0" applyFont="1" applyFill="1" applyBorder="1" applyAlignment="1">
      <alignment horizontal="center"/>
    </xf>
    <xf numFmtId="178" fontId="1" fillId="25" borderId="19" xfId="0" applyNumberFormat="1" applyFont="1" applyFill="1" applyBorder="1"/>
    <xf numFmtId="0" fontId="45" fillId="2" borderId="4" xfId="0" applyFont="1" applyFill="1" applyBorder="1" applyAlignment="1">
      <alignment vertical="center"/>
    </xf>
    <xf numFmtId="0" fontId="45" fillId="2" borderId="5" xfId="0" applyFont="1" applyFill="1" applyBorder="1" applyAlignment="1">
      <alignment vertical="center"/>
    </xf>
    <xf numFmtId="0" fontId="43" fillId="0" borderId="62" xfId="0" applyFont="1" applyBorder="1"/>
    <xf numFmtId="0" fontId="43" fillId="0" borderId="63" xfId="0" applyFont="1" applyBorder="1"/>
    <xf numFmtId="0" fontId="45" fillId="2" borderId="61" xfId="0" applyFont="1" applyFill="1" applyBorder="1"/>
    <xf numFmtId="0" fontId="45" fillId="2" borderId="0" xfId="0" applyFont="1" applyFill="1"/>
    <xf numFmtId="0" fontId="45" fillId="2" borderId="62" xfId="0" applyFont="1" applyFill="1" applyBorder="1" applyAlignment="1">
      <alignment horizontal="center"/>
    </xf>
    <xf numFmtId="0" fontId="45" fillId="2" borderId="63" xfId="0" applyFont="1" applyFill="1" applyBorder="1" applyAlignment="1">
      <alignment horizontal="center"/>
    </xf>
    <xf numFmtId="0" fontId="45" fillId="2" borderId="64" xfId="0" applyFont="1" applyFill="1" applyBorder="1" applyAlignment="1">
      <alignment horizontal="center"/>
    </xf>
    <xf numFmtId="0" fontId="45" fillId="2" borderId="19" xfId="0" applyFont="1" applyFill="1" applyBorder="1" applyAlignment="1">
      <alignment horizontal="center"/>
    </xf>
    <xf numFmtId="0" fontId="48" fillId="0" borderId="68" xfId="0" applyFont="1" applyBorder="1"/>
    <xf numFmtId="0" fontId="45" fillId="2" borderId="41" xfId="0" applyFont="1" applyFill="1" applyBorder="1" applyAlignment="1">
      <alignment horizontal="center"/>
    </xf>
    <xf numFmtId="0" fontId="45" fillId="2" borderId="20" xfId="0" applyFont="1" applyFill="1" applyBorder="1" applyAlignment="1">
      <alignment horizontal="center"/>
    </xf>
    <xf numFmtId="0" fontId="43" fillId="28" borderId="62" xfId="0" applyFont="1" applyFill="1" applyBorder="1" applyAlignment="1">
      <alignment horizontal="center"/>
    </xf>
    <xf numFmtId="0" fontId="43" fillId="28" borderId="63" xfId="0" applyFont="1" applyFill="1" applyBorder="1" applyAlignment="1">
      <alignment horizontal="center"/>
    </xf>
    <xf numFmtId="0" fontId="43" fillId="32" borderId="62" xfId="0" applyFont="1" applyFill="1" applyBorder="1" applyAlignment="1">
      <alignment horizontal="center"/>
    </xf>
    <xf numFmtId="0" fontId="43" fillId="32" borderId="63" xfId="0" applyFont="1" applyFill="1" applyBorder="1" applyAlignment="1">
      <alignment horizontal="center"/>
    </xf>
    <xf numFmtId="170" fontId="0" fillId="32" borderId="19" xfId="0" applyNumberFormat="1" applyFill="1" applyBorder="1"/>
    <xf numFmtId="178" fontId="46" fillId="33" borderId="19" xfId="0" applyNumberFormat="1" applyFont="1" applyFill="1" applyBorder="1"/>
    <xf numFmtId="0" fontId="43" fillId="32" borderId="64" xfId="0" applyFont="1" applyFill="1" applyBorder="1" applyAlignment="1">
      <alignment horizontal="center"/>
    </xf>
    <xf numFmtId="178" fontId="48" fillId="32" borderId="19" xfId="0" applyNumberFormat="1" applyFont="1" applyFill="1" applyBorder="1"/>
    <xf numFmtId="0" fontId="48" fillId="0" borderId="0" xfId="0" applyFont="1" applyAlignment="1">
      <alignment horizontal="center"/>
    </xf>
    <xf numFmtId="0" fontId="43" fillId="0" borderId="19" xfId="0" applyFont="1" applyBorder="1" applyAlignment="1">
      <alignment horizontal="center"/>
    </xf>
    <xf numFmtId="0" fontId="48" fillId="0" borderId="19" xfId="0" applyFont="1" applyBorder="1" applyAlignment="1">
      <alignment horizontal="center"/>
    </xf>
    <xf numFmtId="0" fontId="45" fillId="2" borderId="70" xfId="0" applyFont="1" applyFill="1" applyBorder="1" applyAlignment="1">
      <alignment horizontal="center"/>
    </xf>
    <xf numFmtId="10" fontId="46" fillId="2" borderId="73" xfId="0" applyNumberFormat="1" applyFont="1" applyFill="1" applyBorder="1" applyAlignment="1">
      <alignment horizontal="center"/>
    </xf>
    <xf numFmtId="178" fontId="46" fillId="2" borderId="64" xfId="0" applyNumberFormat="1" applyFont="1" applyFill="1" applyBorder="1"/>
    <xf numFmtId="0" fontId="43" fillId="4" borderId="63" xfId="0" applyFont="1" applyFill="1" applyBorder="1" applyAlignment="1">
      <alignment horizontal="center"/>
    </xf>
    <xf numFmtId="0" fontId="20" fillId="0" borderId="19" xfId="0" applyFont="1" applyBorder="1" applyAlignment="1">
      <alignment horizontal="center"/>
    </xf>
    <xf numFmtId="0" fontId="35" fillId="20" borderId="19" xfId="0" applyFont="1" applyFill="1" applyBorder="1" applyAlignment="1">
      <alignment wrapText="1"/>
    </xf>
    <xf numFmtId="0" fontId="0" fillId="0" borderId="19" xfId="0" applyBorder="1" applyAlignment="1">
      <alignment wrapText="1"/>
    </xf>
    <xf numFmtId="0" fontId="0" fillId="0" borderId="0" xfId="0" applyAlignment="1">
      <alignment wrapText="1"/>
    </xf>
    <xf numFmtId="3" fontId="4" fillId="7" borderId="78" xfId="1" applyNumberFormat="1" applyFill="1" applyBorder="1" applyAlignment="1" applyProtection="1">
      <alignment horizontal="center"/>
    </xf>
    <xf numFmtId="3" fontId="4" fillId="7" borderId="79" xfId="1" applyNumberFormat="1" applyFill="1" applyBorder="1" applyAlignment="1" applyProtection="1">
      <alignment horizontal="center"/>
    </xf>
    <xf numFmtId="178" fontId="46" fillId="35" borderId="19" xfId="0" applyNumberFormat="1" applyFont="1" applyFill="1" applyBorder="1"/>
    <xf numFmtId="0" fontId="45" fillId="35" borderId="69" xfId="0" applyFont="1" applyFill="1" applyBorder="1" applyAlignment="1">
      <alignment horizontal="center"/>
    </xf>
    <xf numFmtId="0" fontId="45" fillId="35" borderId="77" xfId="0" applyFont="1" applyFill="1" applyBorder="1" applyAlignment="1">
      <alignment horizontal="center"/>
    </xf>
    <xf numFmtId="0" fontId="43" fillId="28" borderId="64" xfId="0" applyFont="1" applyFill="1" applyBorder="1" applyAlignment="1">
      <alignment horizontal="center"/>
    </xf>
    <xf numFmtId="178" fontId="48" fillId="31" borderId="19" xfId="0" applyNumberFormat="1" applyFont="1" applyFill="1" applyBorder="1"/>
    <xf numFmtId="178" fontId="48" fillId="28" borderId="19" xfId="0" applyNumberFormat="1" applyFont="1" applyFill="1" applyBorder="1"/>
    <xf numFmtId="0" fontId="43" fillId="29" borderId="62" xfId="0" applyFont="1" applyFill="1" applyBorder="1" applyAlignment="1">
      <alignment horizontal="center"/>
    </xf>
    <xf numFmtId="0" fontId="43" fillId="29" borderId="63" xfId="0" applyFont="1" applyFill="1" applyBorder="1" applyAlignment="1">
      <alignment horizontal="center"/>
    </xf>
    <xf numFmtId="0" fontId="43" fillId="29" borderId="64" xfId="0" applyFont="1" applyFill="1" applyBorder="1" applyAlignment="1">
      <alignment horizontal="center"/>
    </xf>
    <xf numFmtId="178" fontId="48" fillId="29" borderId="19" xfId="0" applyNumberFormat="1" applyFont="1" applyFill="1" applyBorder="1"/>
    <xf numFmtId="0" fontId="43" fillId="28" borderId="41" xfId="0" applyFont="1" applyFill="1" applyBorder="1" applyAlignment="1">
      <alignment horizontal="center"/>
    </xf>
    <xf numFmtId="0" fontId="43" fillId="28" borderId="20" xfId="0" applyFont="1" applyFill="1" applyBorder="1" applyAlignment="1">
      <alignment horizontal="center"/>
    </xf>
    <xf numFmtId="170" fontId="48" fillId="28" borderId="19" xfId="0" applyNumberFormat="1" applyFont="1" applyFill="1" applyBorder="1"/>
    <xf numFmtId="0" fontId="43" fillId="4" borderId="62" xfId="0" applyFont="1" applyFill="1" applyBorder="1" applyAlignment="1">
      <alignment horizontal="center"/>
    </xf>
    <xf numFmtId="0" fontId="2" fillId="32" borderId="62" xfId="0" applyFont="1" applyFill="1" applyBorder="1" applyAlignment="1">
      <alignment horizontal="center"/>
    </xf>
    <xf numFmtId="0" fontId="8" fillId="32" borderId="63" xfId="0" applyFont="1" applyFill="1" applyBorder="1" applyAlignment="1">
      <alignment horizontal="center"/>
    </xf>
    <xf numFmtId="0" fontId="42" fillId="0" borderId="25" xfId="0" applyFont="1" applyBorder="1" applyAlignment="1">
      <alignment horizontal="center"/>
    </xf>
    <xf numFmtId="0" fontId="42" fillId="0" borderId="75" xfId="0" applyFont="1" applyBorder="1" applyAlignment="1">
      <alignment horizontal="center"/>
    </xf>
    <xf numFmtId="173" fontId="42" fillId="0" borderId="75" xfId="0" applyNumberFormat="1" applyFont="1" applyBorder="1" applyAlignment="1">
      <alignment horizontal="center"/>
    </xf>
    <xf numFmtId="0" fontId="43" fillId="2" borderId="73" xfId="0" applyFont="1" applyFill="1" applyBorder="1" applyAlignment="1">
      <alignment horizontal="center" vertical="center" wrapText="1"/>
    </xf>
    <xf numFmtId="0" fontId="43" fillId="30" borderId="62" xfId="0" applyFont="1" applyFill="1" applyBorder="1"/>
    <xf numFmtId="0" fontId="43" fillId="30" borderId="63" xfId="0" applyFont="1" applyFill="1" applyBorder="1"/>
    <xf numFmtId="0" fontId="43" fillId="30" borderId="64" xfId="0" applyFont="1" applyFill="1" applyBorder="1"/>
    <xf numFmtId="171" fontId="48" fillId="30" borderId="19" xfId="1" applyNumberFormat="1" applyFont="1" applyFill="1" applyBorder="1" applyAlignment="1">
      <alignment horizontal="center"/>
    </xf>
    <xf numFmtId="10" fontId="48" fillId="30" borderId="80" xfId="1" applyNumberFormat="1" applyFont="1" applyFill="1" applyBorder="1" applyAlignment="1">
      <alignment horizontal="center"/>
    </xf>
    <xf numFmtId="10" fontId="48" fillId="30" borderId="66" xfId="1" applyNumberFormat="1" applyFont="1" applyFill="1" applyBorder="1" applyAlignment="1">
      <alignment horizontal="center"/>
    </xf>
    <xf numFmtId="0" fontId="43" fillId="0" borderId="70" xfId="0" applyFont="1" applyBorder="1"/>
    <xf numFmtId="0" fontId="43" fillId="0" borderId="41" xfId="0" applyFont="1" applyBorder="1"/>
    <xf numFmtId="173" fontId="43" fillId="0" borderId="41" xfId="0" applyNumberFormat="1" applyFont="1" applyBorder="1" applyAlignment="1">
      <alignment vertical="center"/>
    </xf>
    <xf numFmtId="0" fontId="43" fillId="0" borderId="20" xfId="0" applyFont="1" applyBorder="1" applyAlignment="1">
      <alignment horizontal="center"/>
    </xf>
    <xf numFmtId="0" fontId="43" fillId="30" borderId="68" xfId="0" applyFont="1" applyFill="1" applyBorder="1"/>
    <xf numFmtId="0" fontId="43" fillId="30" borderId="69" xfId="0" applyFont="1" applyFill="1" applyBorder="1"/>
    <xf numFmtId="0" fontId="43" fillId="30" borderId="77" xfId="0" applyFont="1" applyFill="1" applyBorder="1"/>
    <xf numFmtId="171" fontId="48" fillId="0" borderId="64" xfId="1" applyNumberFormat="1" applyFont="1" applyBorder="1" applyAlignment="1">
      <alignment horizontal="center"/>
    </xf>
    <xf numFmtId="0" fontId="43" fillId="0" borderId="64" xfId="0" applyFont="1" applyBorder="1"/>
    <xf numFmtId="0" fontId="24" fillId="13" borderId="0" xfId="0" applyFont="1" applyFill="1" applyAlignment="1">
      <alignment horizontal="center" vertical="center"/>
    </xf>
    <xf numFmtId="0" fontId="14" fillId="11" borderId="0" xfId="0" applyFont="1" applyFill="1" applyAlignment="1">
      <alignment horizontal="center" vertical="center"/>
    </xf>
    <xf numFmtId="14" fontId="19" fillId="11" borderId="0" xfId="0" applyNumberFormat="1" applyFont="1" applyFill="1" applyAlignment="1">
      <alignment horizontal="center" vertical="center"/>
    </xf>
    <xf numFmtId="167" fontId="13" fillId="4" borderId="19" xfId="0" applyNumberFormat="1" applyFont="1" applyFill="1" applyBorder="1"/>
    <xf numFmtId="0" fontId="54" fillId="0" borderId="0" xfId="0" applyFont="1"/>
    <xf numFmtId="3" fontId="45" fillId="2" borderId="0" xfId="0" applyNumberFormat="1" applyFont="1" applyFill="1" applyAlignment="1" applyProtection="1">
      <alignment horizontal="center"/>
      <protection locked="0"/>
    </xf>
    <xf numFmtId="0" fontId="48" fillId="0" borderId="81" xfId="0" applyFont="1" applyBorder="1"/>
    <xf numFmtId="0" fontId="43" fillId="23" borderId="82" xfId="0" applyFont="1" applyFill="1" applyBorder="1" applyAlignment="1">
      <alignment horizontal="center"/>
    </xf>
    <xf numFmtId="0" fontId="43" fillId="23" borderId="83" xfId="0" applyFont="1" applyFill="1" applyBorder="1" applyAlignment="1">
      <alignment horizontal="center"/>
    </xf>
    <xf numFmtId="170" fontId="48" fillId="23" borderId="58" xfId="0" applyNumberFormat="1" applyFont="1" applyFill="1" applyBorder="1"/>
    <xf numFmtId="170" fontId="48" fillId="23" borderId="60" xfId="0" applyNumberFormat="1" applyFont="1" applyFill="1" applyBorder="1"/>
    <xf numFmtId="0" fontId="43" fillId="0" borderId="25" xfId="0" applyFont="1" applyBorder="1"/>
    <xf numFmtId="0" fontId="0" fillId="0" borderId="81" xfId="0" applyBorder="1"/>
    <xf numFmtId="0" fontId="2" fillId="0" borderId="75" xfId="0" applyFont="1" applyBorder="1"/>
    <xf numFmtId="0" fontId="0" fillId="0" borderId="75" xfId="0" applyBorder="1"/>
    <xf numFmtId="0" fontId="0" fillId="0" borderId="84" xfId="0" applyBorder="1" applyAlignment="1">
      <alignment horizontal="center"/>
    </xf>
    <xf numFmtId="0" fontId="42" fillId="28" borderId="62" xfId="0" applyFont="1" applyFill="1" applyBorder="1" applyAlignment="1">
      <alignment horizontal="center"/>
    </xf>
    <xf numFmtId="0" fontId="42" fillId="28" borderId="63" xfId="0" applyFont="1" applyFill="1" applyBorder="1" applyAlignment="1">
      <alignment horizontal="center"/>
    </xf>
    <xf numFmtId="178" fontId="0" fillId="28" borderId="19" xfId="0" applyNumberFormat="1" applyFill="1" applyBorder="1"/>
    <xf numFmtId="0" fontId="43" fillId="16" borderId="62" xfId="0" applyFont="1" applyFill="1" applyBorder="1" applyAlignment="1">
      <alignment horizontal="center"/>
    </xf>
    <xf numFmtId="0" fontId="43" fillId="16" borderId="63" xfId="0" applyFont="1" applyFill="1" applyBorder="1" applyAlignment="1">
      <alignment horizontal="center"/>
    </xf>
    <xf numFmtId="0" fontId="43" fillId="16" borderId="64" xfId="0" applyFont="1" applyFill="1" applyBorder="1" applyAlignment="1">
      <alignment horizontal="center"/>
    </xf>
    <xf numFmtId="178" fontId="48" fillId="16" borderId="19" xfId="0" applyNumberFormat="1" applyFont="1" applyFill="1" applyBorder="1"/>
    <xf numFmtId="178" fontId="48" fillId="16" borderId="59" xfId="0" applyNumberFormat="1" applyFont="1" applyFill="1" applyBorder="1"/>
    <xf numFmtId="178" fontId="0" fillId="37" borderId="19" xfId="0" applyNumberFormat="1" applyFill="1" applyBorder="1"/>
    <xf numFmtId="0" fontId="43" fillId="37" borderId="19" xfId="0" applyFont="1" applyFill="1" applyBorder="1" applyAlignment="1">
      <alignment horizontal="center"/>
    </xf>
    <xf numFmtId="0" fontId="43" fillId="37" borderId="62" xfId="0" applyFont="1" applyFill="1" applyBorder="1" applyAlignment="1">
      <alignment horizontal="center"/>
    </xf>
    <xf numFmtId="0" fontId="43" fillId="37" borderId="63" xfId="0" applyFont="1" applyFill="1" applyBorder="1" applyAlignment="1">
      <alignment horizontal="center"/>
    </xf>
    <xf numFmtId="0" fontId="43" fillId="37" borderId="64" xfId="0" applyFont="1" applyFill="1" applyBorder="1" applyAlignment="1">
      <alignment horizontal="center"/>
    </xf>
    <xf numFmtId="0" fontId="55" fillId="0" borderId="0" xfId="0" applyFont="1"/>
    <xf numFmtId="3" fontId="59" fillId="38" borderId="0" xfId="0" applyNumberFormat="1" applyFont="1" applyFill="1" applyAlignment="1" applyProtection="1">
      <alignment horizontal="center"/>
      <protection locked="0"/>
    </xf>
    <xf numFmtId="3" fontId="56" fillId="38" borderId="0" xfId="0" applyNumberFormat="1" applyFont="1" applyFill="1" applyAlignment="1" applyProtection="1">
      <alignment horizontal="center"/>
      <protection locked="0"/>
    </xf>
    <xf numFmtId="0" fontId="58" fillId="38" borderId="0" xfId="0" applyFont="1" applyFill="1" applyAlignment="1" applyProtection="1">
      <alignment horizontal="center"/>
      <protection locked="0"/>
    </xf>
    <xf numFmtId="0" fontId="60" fillId="0" borderId="0" xfId="0" applyFont="1"/>
    <xf numFmtId="9" fontId="13" fillId="39" borderId="19" xfId="0" applyNumberFormat="1" applyFont="1" applyFill="1" applyBorder="1" applyAlignment="1">
      <alignment vertical="center"/>
    </xf>
    <xf numFmtId="3" fontId="59" fillId="43" borderId="0" xfId="0" applyNumberFormat="1" applyFont="1" applyFill="1" applyAlignment="1" applyProtection="1">
      <alignment horizontal="center"/>
      <protection locked="0"/>
    </xf>
    <xf numFmtId="3" fontId="61" fillId="38" borderId="0" xfId="0" applyNumberFormat="1" applyFont="1" applyFill="1" applyAlignment="1" applyProtection="1">
      <alignment horizontal="center"/>
      <protection locked="0"/>
    </xf>
    <xf numFmtId="3" fontId="56" fillId="43" borderId="0" xfId="0" applyNumberFormat="1" applyFont="1" applyFill="1" applyAlignment="1" applyProtection="1">
      <alignment horizontal="center"/>
      <protection locked="0"/>
    </xf>
    <xf numFmtId="0" fontId="61" fillId="38" borderId="0" xfId="0" applyFont="1" applyFill="1" applyAlignment="1" applyProtection="1">
      <alignment horizontal="center"/>
      <protection locked="0"/>
    </xf>
    <xf numFmtId="0" fontId="58" fillId="43" borderId="0" xfId="0" applyFont="1" applyFill="1" applyAlignment="1" applyProtection="1">
      <alignment horizontal="center"/>
      <protection locked="0"/>
    </xf>
    <xf numFmtId="0" fontId="56" fillId="41" borderId="0" xfId="0" applyFont="1" applyFill="1" applyAlignment="1">
      <alignment horizontal="center"/>
    </xf>
    <xf numFmtId="3" fontId="60" fillId="0" borderId="0" xfId="0" applyNumberFormat="1" applyFont="1"/>
    <xf numFmtId="3" fontId="60" fillId="7" borderId="0" xfId="0" applyNumberFormat="1" applyFont="1" applyFill="1"/>
    <xf numFmtId="0" fontId="57" fillId="42" borderId="0" xfId="0" applyFont="1" applyFill="1" applyAlignment="1">
      <alignment horizontal="center"/>
    </xf>
    <xf numFmtId="179" fontId="57" fillId="42" borderId="0" xfId="0" applyNumberFormat="1" applyFont="1" applyFill="1" applyAlignment="1">
      <alignment horizontal="center"/>
    </xf>
    <xf numFmtId="178" fontId="58" fillId="41" borderId="0" xfId="0" applyNumberFormat="1" applyFont="1" applyFill="1"/>
    <xf numFmtId="0" fontId="57" fillId="45" borderId="62" xfId="0" applyFont="1" applyFill="1" applyBorder="1" applyAlignment="1">
      <alignment horizontal="center"/>
    </xf>
    <xf numFmtId="0" fontId="56" fillId="46" borderId="62" xfId="0" applyFont="1" applyFill="1" applyBorder="1" applyAlignment="1">
      <alignment horizontal="center"/>
    </xf>
    <xf numFmtId="0" fontId="56" fillId="46" borderId="63" xfId="0" applyFont="1" applyFill="1" applyBorder="1" applyAlignment="1">
      <alignment horizontal="center"/>
    </xf>
    <xf numFmtId="0" fontId="57" fillId="45" borderId="63" xfId="0" applyFont="1" applyFill="1" applyBorder="1" applyAlignment="1">
      <alignment horizontal="center"/>
    </xf>
    <xf numFmtId="0" fontId="56" fillId="46" borderId="64" xfId="0" applyFont="1" applyFill="1" applyBorder="1" applyAlignment="1">
      <alignment horizontal="center"/>
    </xf>
    <xf numFmtId="178" fontId="58" fillId="45" borderId="19" xfId="0" applyNumberFormat="1" applyFont="1" applyFill="1" applyBorder="1"/>
    <xf numFmtId="178" fontId="58" fillId="46" borderId="19" xfId="0" applyNumberFormat="1" applyFont="1" applyFill="1" applyBorder="1"/>
    <xf numFmtId="3" fontId="59" fillId="47" borderId="0" xfId="0" applyNumberFormat="1" applyFont="1" applyFill="1" applyAlignment="1" applyProtection="1">
      <alignment horizontal="center"/>
      <protection locked="0"/>
    </xf>
    <xf numFmtId="178" fontId="60" fillId="45" borderId="19" xfId="0" applyNumberFormat="1" applyFont="1" applyFill="1" applyBorder="1"/>
    <xf numFmtId="178" fontId="60" fillId="45" borderId="59" xfId="0" applyNumberFormat="1" applyFont="1" applyFill="1" applyBorder="1"/>
    <xf numFmtId="179" fontId="57" fillId="48" borderId="19" xfId="0" applyNumberFormat="1" applyFont="1" applyFill="1" applyBorder="1" applyAlignment="1">
      <alignment horizontal="center"/>
    </xf>
    <xf numFmtId="0" fontId="62" fillId="0" borderId="19" xfId="0" applyFont="1" applyBorder="1"/>
    <xf numFmtId="167" fontId="62" fillId="38" borderId="19" xfId="0" applyNumberFormat="1" applyFont="1" applyFill="1" applyBorder="1"/>
    <xf numFmtId="0" fontId="17" fillId="9" borderId="0" xfId="2" applyFont="1" applyFill="1" applyBorder="1" applyAlignment="1" applyProtection="1">
      <alignment horizontal="center" vertical="top" wrapText="1"/>
    </xf>
    <xf numFmtId="0" fontId="13" fillId="4" borderId="19" xfId="0" applyFont="1" applyFill="1" applyBorder="1"/>
    <xf numFmtId="0" fontId="63" fillId="0" borderId="0" xfId="0" applyFont="1" applyAlignment="1">
      <alignment vertical="center"/>
    </xf>
    <xf numFmtId="0" fontId="0" fillId="0" borderId="0" xfId="0" applyAlignment="1">
      <alignment horizontal="left" vertical="center" indent="1"/>
    </xf>
    <xf numFmtId="0" fontId="0" fillId="0" borderId="0" xfId="0" applyAlignment="1">
      <alignment horizontal="center" vertical="center"/>
    </xf>
    <xf numFmtId="0" fontId="32" fillId="0" borderId="0" xfId="2" applyFont="1"/>
    <xf numFmtId="0" fontId="65" fillId="0" borderId="0" xfId="0" applyFont="1"/>
    <xf numFmtId="0" fontId="66" fillId="0" borderId="0" xfId="0" applyFont="1"/>
    <xf numFmtId="178" fontId="46" fillId="19" borderId="19" xfId="0" applyNumberFormat="1" applyFont="1" applyFill="1" applyBorder="1"/>
    <xf numFmtId="0" fontId="12" fillId="23" borderId="0" xfId="0" applyFont="1" applyFill="1" applyAlignment="1">
      <alignment horizontal="right"/>
    </xf>
    <xf numFmtId="14" fontId="12" fillId="23" borderId="0" xfId="0" applyNumberFormat="1" applyFont="1" applyFill="1" applyAlignment="1">
      <alignment horizontal="right"/>
    </xf>
    <xf numFmtId="0" fontId="24" fillId="0" borderId="0" xfId="0" applyFont="1" applyAlignment="1">
      <alignment horizontal="right"/>
    </xf>
    <xf numFmtId="0" fontId="45" fillId="2" borderId="77" xfId="0" applyFont="1" applyFill="1" applyBorder="1" applyAlignment="1">
      <alignment horizontal="center"/>
    </xf>
    <xf numFmtId="0" fontId="45" fillId="2" borderId="69" xfId="0" applyFont="1" applyFill="1" applyBorder="1" applyAlignment="1">
      <alignment horizontal="center"/>
    </xf>
    <xf numFmtId="0" fontId="45" fillId="2" borderId="0" xfId="0" applyFont="1" applyFill="1" applyAlignment="1">
      <alignment horizontal="center"/>
    </xf>
    <xf numFmtId="0" fontId="67" fillId="0" borderId="0" xfId="0" applyFont="1"/>
    <xf numFmtId="0" fontId="21" fillId="8" borderId="62" xfId="0" applyFont="1" applyFill="1" applyBorder="1"/>
    <xf numFmtId="0" fontId="21" fillId="8" borderId="41" xfId="0" applyFont="1" applyFill="1" applyBorder="1"/>
    <xf numFmtId="0" fontId="21" fillId="8" borderId="69" xfId="0" applyFont="1" applyFill="1" applyBorder="1"/>
    <xf numFmtId="0" fontId="64" fillId="0" borderId="0" xfId="0" applyFont="1"/>
    <xf numFmtId="0" fontId="64" fillId="0" borderId="73" xfId="0" applyFont="1" applyBorder="1"/>
    <xf numFmtId="0" fontId="64" fillId="0" borderId="67" xfId="0" applyFont="1" applyBorder="1"/>
    <xf numFmtId="0" fontId="64" fillId="0" borderId="74" xfId="0" applyFont="1" applyBorder="1"/>
    <xf numFmtId="0" fontId="43" fillId="32" borderId="19" xfId="0" applyFont="1" applyFill="1" applyBorder="1" applyAlignment="1">
      <alignment horizontal="left" wrapText="1"/>
    </xf>
    <xf numFmtId="0" fontId="43" fillId="32" borderId="19" xfId="0" applyFont="1" applyFill="1" applyBorder="1" applyAlignment="1">
      <alignment horizontal="center" vertical="center" wrapText="1"/>
    </xf>
    <xf numFmtId="1" fontId="11" fillId="4" borderId="19" xfId="0" applyNumberFormat="1" applyFont="1" applyFill="1" applyBorder="1" applyAlignment="1">
      <alignment horizontal="center" wrapText="1"/>
    </xf>
    <xf numFmtId="0" fontId="13" fillId="0" borderId="19" xfId="0" applyFont="1" applyBorder="1" applyAlignment="1">
      <alignment horizontal="left" vertical="center"/>
    </xf>
    <xf numFmtId="0" fontId="65" fillId="0" borderId="0" xfId="0" applyFont="1" applyAlignment="1">
      <alignment vertical="center"/>
    </xf>
    <xf numFmtId="10" fontId="46" fillId="33" borderId="19" xfId="0" applyNumberFormat="1" applyFont="1" applyFill="1" applyBorder="1" applyAlignment="1">
      <alignment horizontal="center"/>
    </xf>
    <xf numFmtId="0" fontId="45" fillId="50" borderId="63" xfId="0" applyFont="1" applyFill="1" applyBorder="1" applyAlignment="1">
      <alignment horizontal="center"/>
    </xf>
    <xf numFmtId="0" fontId="45" fillId="50" borderId="64" xfId="0" applyFont="1" applyFill="1" applyBorder="1" applyAlignment="1">
      <alignment horizontal="center"/>
    </xf>
    <xf numFmtId="178" fontId="46" fillId="50" borderId="19" xfId="0" applyNumberFormat="1" applyFont="1" applyFill="1" applyBorder="1"/>
    <xf numFmtId="0" fontId="69" fillId="50" borderId="64" xfId="0" applyFont="1" applyFill="1" applyBorder="1" applyAlignment="1">
      <alignment horizontal="center" wrapText="1"/>
    </xf>
    <xf numFmtId="0" fontId="48" fillId="2" borderId="0" xfId="0" applyFont="1" applyFill="1" applyAlignment="1">
      <alignment horizontal="center" vertical="top" wrapText="1"/>
    </xf>
    <xf numFmtId="0" fontId="64" fillId="0" borderId="73" xfId="0" applyFont="1" applyBorder="1" applyAlignment="1">
      <alignment horizontal="left"/>
    </xf>
    <xf numFmtId="0" fontId="64" fillId="0" borderId="74" xfId="0" applyFont="1" applyBorder="1" applyAlignment="1">
      <alignment horizontal="left"/>
    </xf>
    <xf numFmtId="0" fontId="24" fillId="0" borderId="0" xfId="0" applyFont="1" applyAlignment="1">
      <alignment horizontal="left" vertical="top" wrapText="1"/>
    </xf>
    <xf numFmtId="0" fontId="47" fillId="2" borderId="0" xfId="0" quotePrefix="1" applyFont="1" applyFill="1" applyAlignment="1" applyProtection="1">
      <alignment horizontal="center" vertical="center"/>
      <protection locked="0"/>
    </xf>
    <xf numFmtId="0" fontId="0" fillId="32" borderId="0" xfId="0" applyFill="1"/>
    <xf numFmtId="0" fontId="32" fillId="32" borderId="0" xfId="2" applyFont="1" applyFill="1"/>
    <xf numFmtId="0" fontId="45" fillId="2" borderId="19" xfId="0" applyFont="1" applyFill="1" applyBorder="1" applyAlignment="1">
      <alignment horizontal="center" vertical="center" wrapText="1"/>
    </xf>
    <xf numFmtId="0" fontId="71" fillId="4" borderId="0" xfId="0" applyFont="1" applyFill="1"/>
    <xf numFmtId="0" fontId="0" fillId="4" borderId="0" xfId="0" applyFill="1"/>
    <xf numFmtId="0" fontId="45" fillId="35" borderId="63" xfId="0" applyFont="1" applyFill="1" applyBorder="1" applyAlignment="1">
      <alignment horizontal="center"/>
    </xf>
    <xf numFmtId="0" fontId="48" fillId="52" borderId="0" xfId="0" applyFont="1" applyFill="1" applyAlignment="1">
      <alignment horizontal="center"/>
    </xf>
    <xf numFmtId="0" fontId="45" fillId="53" borderId="63" xfId="0" applyFont="1" applyFill="1" applyBorder="1" applyAlignment="1">
      <alignment horizontal="center"/>
    </xf>
    <xf numFmtId="0" fontId="45" fillId="53" borderId="64" xfId="0" applyFont="1" applyFill="1" applyBorder="1" applyAlignment="1">
      <alignment horizontal="center"/>
    </xf>
    <xf numFmtId="0" fontId="69" fillId="53" borderId="64" xfId="0" applyFont="1" applyFill="1" applyBorder="1" applyAlignment="1">
      <alignment horizontal="center" wrapText="1"/>
    </xf>
    <xf numFmtId="178" fontId="46" fillId="53" borderId="19" xfId="0" applyNumberFormat="1" applyFont="1" applyFill="1" applyBorder="1"/>
    <xf numFmtId="171" fontId="4" fillId="30" borderId="19" xfId="1" applyNumberFormat="1" applyFill="1" applyBorder="1" applyAlignment="1">
      <alignment horizontal="center"/>
    </xf>
    <xf numFmtId="0" fontId="68" fillId="2" borderId="0" xfId="0" applyFont="1" applyFill="1" applyAlignment="1" applyProtection="1">
      <alignment horizontal="center" vertical="top" wrapText="1"/>
      <protection locked="0"/>
    </xf>
    <xf numFmtId="0" fontId="68" fillId="2" borderId="0" xfId="0" applyFont="1" applyFill="1" applyAlignment="1" applyProtection="1">
      <alignment vertical="top" wrapText="1"/>
      <protection locked="0"/>
    </xf>
    <xf numFmtId="10" fontId="13" fillId="40" borderId="19" xfId="0" applyNumberFormat="1" applyFont="1" applyFill="1" applyBorder="1" applyAlignment="1">
      <alignment horizontal="right" vertical="center"/>
    </xf>
    <xf numFmtId="10" fontId="13" fillId="4" borderId="19" xfId="0" applyNumberFormat="1" applyFont="1" applyFill="1" applyBorder="1"/>
    <xf numFmtId="0" fontId="13" fillId="24" borderId="19" xfId="0" applyFont="1" applyFill="1" applyBorder="1" applyAlignment="1">
      <alignment wrapText="1"/>
    </xf>
    <xf numFmtId="0" fontId="13" fillId="7" borderId="19" xfId="0" applyFont="1" applyFill="1" applyBorder="1" applyAlignment="1">
      <alignment vertical="center" wrapText="1"/>
    </xf>
    <xf numFmtId="0" fontId="43" fillId="51" borderId="81" xfId="0" applyFont="1" applyFill="1" applyBorder="1" applyAlignment="1">
      <alignment horizontal="center"/>
    </xf>
    <xf numFmtId="0" fontId="48" fillId="0" borderId="85" xfId="0" applyFont="1" applyBorder="1"/>
    <xf numFmtId="0" fontId="48" fillId="2" borderId="75" xfId="0" applyFont="1" applyFill="1" applyBorder="1" applyAlignment="1">
      <alignment vertical="top" wrapText="1"/>
    </xf>
    <xf numFmtId="0" fontId="48" fillId="0" borderId="86" xfId="0" applyFont="1" applyBorder="1"/>
    <xf numFmtId="0" fontId="61" fillId="0" borderId="75" xfId="0" applyFont="1" applyBorder="1" applyAlignment="1">
      <alignment vertical="center"/>
    </xf>
    <xf numFmtId="0" fontId="61" fillId="0" borderId="86" xfId="0" applyFont="1" applyBorder="1" applyAlignment="1">
      <alignment vertical="center"/>
    </xf>
    <xf numFmtId="0" fontId="48" fillId="0" borderId="88" xfId="0" applyFont="1" applyBorder="1"/>
    <xf numFmtId="0" fontId="48" fillId="0" borderId="89" xfId="0" applyFont="1" applyBorder="1"/>
    <xf numFmtId="0" fontId="73" fillId="0" borderId="75" xfId="0" applyFont="1" applyBorder="1" applyAlignment="1">
      <alignment vertical="center"/>
    </xf>
    <xf numFmtId="0" fontId="48" fillId="0" borderId="87" xfId="0" applyFont="1" applyBorder="1"/>
    <xf numFmtId="0" fontId="73" fillId="0" borderId="0" xfId="0" applyFont="1" applyAlignment="1">
      <alignment vertical="center"/>
    </xf>
    <xf numFmtId="0" fontId="73" fillId="0" borderId="0" xfId="0" applyFont="1"/>
    <xf numFmtId="0" fontId="45" fillId="19" borderId="25" xfId="0" applyFont="1" applyFill="1" applyBorder="1" applyAlignment="1">
      <alignment horizontal="left"/>
    </xf>
    <xf numFmtId="0" fontId="45" fillId="19" borderId="81" xfId="0" applyFont="1" applyFill="1" applyBorder="1" applyAlignment="1">
      <alignment horizontal="right"/>
    </xf>
    <xf numFmtId="0" fontId="43" fillId="7" borderId="75" xfId="0" applyFont="1" applyFill="1" applyBorder="1" applyAlignment="1">
      <alignment horizontal="center"/>
    </xf>
    <xf numFmtId="0" fontId="76" fillId="0" borderId="0" xfId="0" applyFont="1"/>
    <xf numFmtId="0" fontId="24" fillId="0" borderId="0" xfId="0" applyFont="1" applyAlignment="1">
      <alignment horizontal="center" vertical="center"/>
    </xf>
    <xf numFmtId="0" fontId="77" fillId="0" borderId="0" xfId="0" applyFont="1" applyAlignment="1">
      <alignment vertical="center"/>
    </xf>
    <xf numFmtId="0" fontId="73" fillId="0" borderId="92" xfId="0" applyFont="1" applyBorder="1" applyAlignment="1">
      <alignment vertical="top"/>
    </xf>
    <xf numFmtId="0" fontId="3" fillId="0" borderId="0" xfId="0" applyFont="1" applyAlignment="1">
      <alignment vertical="center"/>
    </xf>
    <xf numFmtId="0" fontId="78" fillId="23" borderId="92" xfId="0" applyFont="1" applyFill="1" applyBorder="1" applyAlignment="1">
      <alignment horizontal="center" vertical="center"/>
    </xf>
    <xf numFmtId="10" fontId="78" fillId="23" borderId="92" xfId="0" applyNumberFormat="1" applyFont="1" applyFill="1" applyBorder="1" applyAlignment="1">
      <alignment horizontal="center" vertical="center"/>
    </xf>
    <xf numFmtId="0" fontId="80" fillId="0" borderId="0" xfId="0" applyFont="1" applyAlignment="1">
      <alignment vertical="center"/>
    </xf>
    <xf numFmtId="0" fontId="81" fillId="0" borderId="0" xfId="0" applyFont="1"/>
    <xf numFmtId="10" fontId="78" fillId="54" borderId="89" xfId="0" applyNumberFormat="1" applyFont="1" applyFill="1" applyBorder="1" applyAlignment="1">
      <alignment horizontal="center"/>
    </xf>
    <xf numFmtId="0" fontId="82" fillId="0" borderId="0" xfId="2" applyFont="1" applyAlignment="1">
      <alignment horizontal="left" vertical="center"/>
    </xf>
    <xf numFmtId="0" fontId="67" fillId="0" borderId="0" xfId="0" applyFont="1" applyAlignment="1">
      <alignment vertical="center"/>
    </xf>
    <xf numFmtId="178" fontId="48" fillId="29" borderId="62" xfId="0" applyNumberFormat="1" applyFont="1" applyFill="1" applyBorder="1"/>
    <xf numFmtId="0" fontId="43" fillId="29" borderId="90" xfId="0" applyFont="1" applyFill="1" applyBorder="1" applyAlignment="1">
      <alignment horizontal="center"/>
    </xf>
    <xf numFmtId="0" fontId="43" fillId="29" borderId="91" xfId="0" applyFont="1" applyFill="1" applyBorder="1" applyAlignment="1">
      <alignment horizontal="center"/>
    </xf>
    <xf numFmtId="0" fontId="43" fillId="29" borderId="92" xfId="0" applyFont="1" applyFill="1" applyBorder="1" applyAlignment="1">
      <alignment horizontal="center"/>
    </xf>
    <xf numFmtId="0" fontId="3" fillId="4" borderId="89" xfId="0" applyFont="1" applyFill="1" applyBorder="1" applyAlignment="1">
      <alignment horizontal="center"/>
    </xf>
    <xf numFmtId="0" fontId="83" fillId="0" borderId="0" xfId="0" applyFont="1"/>
    <xf numFmtId="0" fontId="0" fillId="0" borderId="0" xfId="0" applyAlignment="1">
      <alignment horizontal="left" vertical="top" wrapText="1"/>
    </xf>
    <xf numFmtId="0" fontId="11" fillId="0" borderId="76" xfId="0" applyFont="1" applyBorder="1" applyAlignment="1">
      <alignment horizontal="left"/>
    </xf>
    <xf numFmtId="0" fontId="11" fillId="0" borderId="68" xfId="0" applyFont="1" applyBorder="1" applyAlignment="1">
      <alignment horizontal="left"/>
    </xf>
    <xf numFmtId="0" fontId="11" fillId="0" borderId="67" xfId="0" applyFont="1" applyBorder="1" applyAlignment="1">
      <alignment horizontal="left"/>
    </xf>
    <xf numFmtId="0" fontId="11" fillId="0" borderId="74" xfId="0" applyFont="1" applyBorder="1" applyAlignment="1">
      <alignment horizontal="left"/>
    </xf>
    <xf numFmtId="0" fontId="11" fillId="0" borderId="62" xfId="0" applyFont="1" applyBorder="1"/>
    <xf numFmtId="0" fontId="11" fillId="0" borderId="64" xfId="0" applyFont="1" applyBorder="1"/>
    <xf numFmtId="0" fontId="11" fillId="0" borderId="69" xfId="0" applyFont="1" applyBorder="1" applyAlignment="1">
      <alignment horizontal="left"/>
    </xf>
    <xf numFmtId="0" fontId="11" fillId="0" borderId="67" xfId="0" applyFont="1" applyBorder="1"/>
    <xf numFmtId="178" fontId="46" fillId="34" borderId="19" xfId="0" applyNumberFormat="1" applyFont="1" applyFill="1" applyBorder="1"/>
    <xf numFmtId="0" fontId="86" fillId="0" borderId="0" xfId="0" applyFont="1" applyAlignment="1">
      <alignment horizontal="left" vertical="center" indent="1"/>
    </xf>
    <xf numFmtId="0" fontId="86" fillId="0" borderId="0" xfId="0" applyFont="1"/>
    <xf numFmtId="167" fontId="13" fillId="54" borderId="19" xfId="0" applyNumberFormat="1" applyFont="1" applyFill="1" applyBorder="1"/>
    <xf numFmtId="0" fontId="46" fillId="2" borderId="0" xfId="0" quotePrefix="1" applyFont="1" applyFill="1" applyProtection="1">
      <protection locked="0"/>
    </xf>
    <xf numFmtId="0" fontId="86" fillId="0" borderId="0" xfId="0" applyFont="1" applyAlignment="1">
      <alignment vertical="center"/>
    </xf>
    <xf numFmtId="0" fontId="87" fillId="0" borderId="0" xfId="0" applyFont="1" applyAlignment="1">
      <alignment vertical="center"/>
    </xf>
    <xf numFmtId="0" fontId="86" fillId="0" borderId="0" xfId="0" applyFont="1" applyAlignment="1">
      <alignment horizontal="left" vertical="center" indent="4"/>
    </xf>
    <xf numFmtId="0" fontId="9" fillId="0" borderId="0" xfId="2" applyAlignment="1">
      <alignment horizontal="left" vertical="center" indent="4"/>
    </xf>
    <xf numFmtId="0" fontId="71" fillId="0" borderId="0" xfId="0" applyFont="1"/>
    <xf numFmtId="0" fontId="78" fillId="0" borderId="0" xfId="0" applyFont="1" applyAlignment="1">
      <alignment vertical="center"/>
    </xf>
    <xf numFmtId="0" fontId="11" fillId="0" borderId="65" xfId="0" applyFont="1" applyBorder="1" applyAlignment="1">
      <alignment horizontal="left"/>
    </xf>
    <xf numFmtId="0" fontId="11" fillId="0" borderId="99" xfId="0" applyFont="1" applyBorder="1" applyAlignment="1">
      <alignment horizontal="left"/>
    </xf>
    <xf numFmtId="0" fontId="11" fillId="0" borderId="100" xfId="0" applyFont="1" applyBorder="1"/>
    <xf numFmtId="0" fontId="11" fillId="0" borderId="58" xfId="0" applyFont="1" applyBorder="1"/>
    <xf numFmtId="0" fontId="11" fillId="0" borderId="101" xfId="0" applyFont="1" applyBorder="1"/>
    <xf numFmtId="10" fontId="11" fillId="0" borderId="58" xfId="0" applyNumberFormat="1" applyFont="1" applyBorder="1"/>
    <xf numFmtId="0" fontId="11" fillId="0" borderId="65" xfId="0" applyFont="1" applyBorder="1"/>
    <xf numFmtId="167" fontId="11" fillId="0" borderId="66" xfId="0" applyNumberFormat="1" applyFont="1" applyBorder="1"/>
    <xf numFmtId="0" fontId="11" fillId="0" borderId="102" xfId="0" applyFont="1" applyBorder="1"/>
    <xf numFmtId="0" fontId="11" fillId="0" borderId="103" xfId="0" applyFont="1" applyBorder="1"/>
    <xf numFmtId="0" fontId="11" fillId="0" borderId="59" xfId="0" applyFont="1" applyBorder="1"/>
    <xf numFmtId="0" fontId="11" fillId="0" borderId="104" xfId="0" applyFont="1" applyBorder="1" applyAlignment="1">
      <alignment horizontal="left"/>
    </xf>
    <xf numFmtId="167" fontId="11" fillId="0" borderId="60" xfId="0" applyNumberFormat="1" applyFont="1" applyBorder="1"/>
    <xf numFmtId="169" fontId="11" fillId="32" borderId="58" xfId="0" applyNumberFormat="1" applyFont="1" applyFill="1" applyBorder="1"/>
    <xf numFmtId="0" fontId="37" fillId="0" borderId="0" xfId="0" applyFont="1"/>
    <xf numFmtId="0" fontId="37" fillId="23" borderId="25" xfId="0" applyFont="1" applyFill="1" applyBorder="1"/>
    <xf numFmtId="0" fontId="12" fillId="23" borderId="81" xfId="0" applyFont="1" applyFill="1" applyBorder="1"/>
    <xf numFmtId="0" fontId="12" fillId="23" borderId="85" xfId="0" applyFont="1" applyFill="1" applyBorder="1"/>
    <xf numFmtId="0" fontId="37" fillId="23" borderId="75" xfId="0" applyFont="1" applyFill="1" applyBorder="1"/>
    <xf numFmtId="0" fontId="12" fillId="23" borderId="0" xfId="0" applyFont="1" applyFill="1"/>
    <xf numFmtId="0" fontId="12" fillId="23" borderId="86" xfId="0" applyFont="1" applyFill="1" applyBorder="1"/>
    <xf numFmtId="0" fontId="46" fillId="2" borderId="0" xfId="0" applyFont="1" applyFill="1" applyAlignment="1" applyProtection="1">
      <alignment horizontal="center" vertical="center"/>
      <protection locked="0"/>
    </xf>
    <xf numFmtId="0" fontId="48" fillId="0" borderId="0" xfId="0" applyFont="1" applyAlignment="1">
      <alignment horizontal="center" vertical="center"/>
    </xf>
    <xf numFmtId="0" fontId="12" fillId="0" borderId="0" xfId="0" quotePrefix="1" applyFont="1"/>
    <xf numFmtId="0" fontId="78" fillId="4" borderId="81" xfId="0" applyFont="1" applyFill="1" applyBorder="1" applyAlignment="1">
      <alignment vertical="center" wrapText="1"/>
    </xf>
    <xf numFmtId="0" fontId="78" fillId="4" borderId="85" xfId="0" applyFont="1" applyFill="1" applyBorder="1" applyAlignment="1">
      <alignment vertical="center" wrapText="1"/>
    </xf>
    <xf numFmtId="0" fontId="78" fillId="4" borderId="0" xfId="0" applyFont="1" applyFill="1" applyAlignment="1">
      <alignment vertical="center" wrapText="1"/>
    </xf>
    <xf numFmtId="0" fontId="78" fillId="4" borderId="86" xfId="0" applyFont="1" applyFill="1" applyBorder="1" applyAlignment="1">
      <alignment vertical="center" wrapText="1"/>
    </xf>
    <xf numFmtId="0" fontId="78" fillId="4" borderId="88" xfId="0" applyFont="1" applyFill="1" applyBorder="1" applyAlignment="1">
      <alignment vertical="center" wrapText="1"/>
    </xf>
    <xf numFmtId="0" fontId="78" fillId="4" borderId="89" xfId="0" applyFont="1" applyFill="1" applyBorder="1" applyAlignment="1">
      <alignment vertical="center" wrapText="1"/>
    </xf>
    <xf numFmtId="0" fontId="88" fillId="16" borderId="0" xfId="0" applyFont="1" applyFill="1"/>
    <xf numFmtId="0" fontId="12" fillId="16" borderId="0" xfId="0" applyFont="1" applyFill="1"/>
    <xf numFmtId="0" fontId="45" fillId="50" borderId="77" xfId="0" applyFont="1" applyFill="1" applyBorder="1" applyAlignment="1">
      <alignment horizontal="center"/>
    </xf>
    <xf numFmtId="0" fontId="45" fillId="35" borderId="0" xfId="0" applyFont="1" applyFill="1" applyAlignment="1">
      <alignment horizontal="center"/>
    </xf>
    <xf numFmtId="0" fontId="45" fillId="2" borderId="41" xfId="0" applyFont="1" applyFill="1" applyBorder="1" applyAlignment="1">
      <alignment horizontal="center" vertical="center"/>
    </xf>
    <xf numFmtId="0" fontId="43" fillId="0" borderId="70" xfId="0" applyFont="1" applyBorder="1" applyAlignment="1">
      <alignment horizontal="center" wrapText="1"/>
    </xf>
    <xf numFmtId="0" fontId="43" fillId="0" borderId="20" xfId="0" applyFont="1" applyBorder="1" applyAlignment="1">
      <alignment horizontal="center" vertical="center" wrapText="1"/>
    </xf>
    <xf numFmtId="170" fontId="48" fillId="0" borderId="73" xfId="0" applyNumberFormat="1" applyFont="1" applyBorder="1"/>
    <xf numFmtId="170" fontId="20" fillId="0" borderId="73" xfId="0" applyNumberFormat="1" applyFont="1" applyBorder="1"/>
    <xf numFmtId="0" fontId="45" fillId="2" borderId="105" xfId="0" applyFont="1" applyFill="1" applyBorder="1" applyAlignment="1">
      <alignment horizontal="center"/>
    </xf>
    <xf numFmtId="178" fontId="46" fillId="2" borderId="100" xfId="0" applyNumberFormat="1" applyFont="1" applyFill="1" applyBorder="1"/>
    <xf numFmtId="10" fontId="46" fillId="2" borderId="59" xfId="0" applyNumberFormat="1" applyFont="1" applyFill="1" applyBorder="1" applyAlignment="1">
      <alignment horizontal="center"/>
    </xf>
    <xf numFmtId="178" fontId="46" fillId="2" borderId="59" xfId="0" applyNumberFormat="1" applyFont="1" applyFill="1" applyBorder="1"/>
    <xf numFmtId="178" fontId="46" fillId="35" borderId="59" xfId="0" applyNumberFormat="1" applyFont="1" applyFill="1" applyBorder="1"/>
    <xf numFmtId="178" fontId="46" fillId="50" borderId="59" xfId="0" applyNumberFormat="1" applyFont="1" applyFill="1" applyBorder="1"/>
    <xf numFmtId="178" fontId="46" fillId="34" borderId="100" xfId="0" applyNumberFormat="1" applyFont="1" applyFill="1" applyBorder="1"/>
    <xf numFmtId="178" fontId="46" fillId="34" borderId="59" xfId="0" applyNumberFormat="1" applyFont="1" applyFill="1" applyBorder="1"/>
    <xf numFmtId="178" fontId="46" fillId="19" borderId="59" xfId="0" applyNumberFormat="1" applyFont="1" applyFill="1" applyBorder="1"/>
    <xf numFmtId="0" fontId="48" fillId="37" borderId="95" xfId="0" applyFont="1" applyFill="1" applyBorder="1"/>
    <xf numFmtId="3" fontId="46" fillId="55" borderId="95" xfId="0" applyNumberFormat="1" applyFont="1" applyFill="1" applyBorder="1"/>
    <xf numFmtId="0" fontId="46" fillId="55" borderId="95" xfId="0" applyFont="1" applyFill="1" applyBorder="1" applyAlignment="1">
      <alignment horizontal="center"/>
    </xf>
    <xf numFmtId="0" fontId="48" fillId="37" borderId="93" xfId="0" applyFont="1" applyFill="1" applyBorder="1"/>
    <xf numFmtId="0" fontId="45" fillId="50" borderId="91" xfId="0" applyFont="1" applyFill="1" applyBorder="1" applyAlignment="1">
      <alignment horizontal="center"/>
    </xf>
    <xf numFmtId="0" fontId="45" fillId="50" borderId="92" xfId="0" applyFont="1" applyFill="1" applyBorder="1" applyAlignment="1">
      <alignment horizontal="center"/>
    </xf>
    <xf numFmtId="0" fontId="13" fillId="3" borderId="62" xfId="0" applyFont="1" applyFill="1" applyBorder="1"/>
    <xf numFmtId="0" fontId="11" fillId="0" borderId="64" xfId="0" applyFont="1" applyBorder="1" applyAlignment="1">
      <alignment horizontal="center"/>
    </xf>
    <xf numFmtId="10" fontId="11" fillId="0" borderId="19" xfId="0" applyNumberFormat="1" applyFont="1" applyBorder="1" applyAlignment="1">
      <alignment vertical="center"/>
    </xf>
    <xf numFmtId="178" fontId="89" fillId="50" borderId="80" xfId="0" applyNumberFormat="1" applyFont="1" applyFill="1" applyBorder="1" applyAlignment="1">
      <alignment horizontal="center"/>
    </xf>
    <xf numFmtId="10" fontId="46" fillId="50" borderId="58" xfId="0" applyNumberFormat="1" applyFont="1" applyFill="1" applyBorder="1" applyAlignment="1">
      <alignment horizontal="center"/>
    </xf>
    <xf numFmtId="10" fontId="46" fillId="50" borderId="60" xfId="0" applyNumberFormat="1" applyFont="1" applyFill="1" applyBorder="1" applyAlignment="1">
      <alignment horizontal="center"/>
    </xf>
    <xf numFmtId="0" fontId="90" fillId="0" borderId="0" xfId="2" applyFont="1"/>
    <xf numFmtId="0" fontId="11" fillId="54" borderId="68" xfId="0" applyFont="1" applyFill="1" applyBorder="1" applyAlignment="1">
      <alignment horizontal="left"/>
    </xf>
    <xf numFmtId="0" fontId="13" fillId="54" borderId="99" xfId="0" applyFont="1" applyFill="1" applyBorder="1" applyAlignment="1">
      <alignment horizontal="left" vertical="center"/>
    </xf>
    <xf numFmtId="0" fontId="11" fillId="54" borderId="76" xfId="0" applyFont="1" applyFill="1" applyBorder="1" applyAlignment="1">
      <alignment horizontal="left" vertical="center"/>
    </xf>
    <xf numFmtId="0" fontId="65" fillId="0" borderId="0" xfId="0" applyFont="1" applyAlignment="1">
      <alignment horizontal="center"/>
    </xf>
    <xf numFmtId="0" fontId="92" fillId="0" borderId="0" xfId="0" applyFont="1"/>
    <xf numFmtId="0" fontId="35" fillId="0" borderId="0" xfId="0" applyFont="1"/>
    <xf numFmtId="0" fontId="94" fillId="0" borderId="27" xfId="0" applyFont="1" applyBorder="1"/>
    <xf numFmtId="0" fontId="94" fillId="0" borderId="71" xfId="0" applyFont="1" applyBorder="1"/>
    <xf numFmtId="0" fontId="94" fillId="0" borderId="26" xfId="0" applyFont="1" applyBorder="1"/>
    <xf numFmtId="0" fontId="45" fillId="50" borderId="0" xfId="0" applyFont="1" applyFill="1" applyAlignment="1">
      <alignment horizontal="center"/>
    </xf>
    <xf numFmtId="0" fontId="45" fillId="50" borderId="88" xfId="0" applyFont="1" applyFill="1" applyBorder="1" applyAlignment="1">
      <alignment horizontal="center"/>
    </xf>
    <xf numFmtId="0" fontId="46" fillId="2" borderId="20" xfId="0" applyFont="1" applyFill="1" applyBorder="1"/>
    <xf numFmtId="10" fontId="46" fillId="2" borderId="106" xfId="0" applyNumberFormat="1" applyFont="1" applyFill="1" applyBorder="1" applyAlignment="1">
      <alignment horizontal="center"/>
    </xf>
    <xf numFmtId="178" fontId="46" fillId="50" borderId="74" xfId="0" applyNumberFormat="1" applyFont="1" applyFill="1" applyBorder="1"/>
    <xf numFmtId="0" fontId="45" fillId="34" borderId="19" xfId="0" applyFont="1" applyFill="1" applyBorder="1" applyAlignment="1">
      <alignment horizontal="center"/>
    </xf>
    <xf numFmtId="0" fontId="45" fillId="35" borderId="19" xfId="0" applyFont="1" applyFill="1" applyBorder="1" applyAlignment="1">
      <alignment horizontal="center"/>
    </xf>
    <xf numFmtId="0" fontId="45" fillId="34" borderId="100" xfId="0" applyFont="1" applyFill="1" applyBorder="1" applyAlignment="1">
      <alignment horizontal="center"/>
    </xf>
    <xf numFmtId="0" fontId="15" fillId="8" borderId="110" xfId="0" applyFont="1" applyFill="1" applyBorder="1" applyAlignment="1">
      <alignment horizontal="center"/>
    </xf>
    <xf numFmtId="1" fontId="15" fillId="8" borderId="111" xfId="0" applyNumberFormat="1" applyFont="1" applyFill="1" applyBorder="1" applyAlignment="1">
      <alignment horizontal="center"/>
    </xf>
    <xf numFmtId="1" fontId="15" fillId="8" borderId="112" xfId="0" applyNumberFormat="1" applyFont="1" applyFill="1" applyBorder="1" applyAlignment="1">
      <alignment horizontal="center"/>
    </xf>
    <xf numFmtId="178" fontId="20" fillId="7" borderId="113" xfId="1" applyNumberFormat="1" applyFont="1" applyFill="1" applyBorder="1" applyAlignment="1" applyProtection="1">
      <alignment horizontal="center"/>
    </xf>
    <xf numFmtId="178" fontId="20" fillId="7" borderId="114" xfId="1" applyNumberFormat="1" applyFont="1" applyFill="1" applyBorder="1" applyAlignment="1" applyProtection="1">
      <alignment horizontal="center"/>
    </xf>
    <xf numFmtId="178" fontId="16" fillId="7" borderId="115" xfId="4" applyNumberFormat="1" applyFont="1" applyFill="1" applyBorder="1" applyAlignment="1" applyProtection="1">
      <alignment horizontal="center"/>
    </xf>
    <xf numFmtId="178" fontId="20" fillId="7" borderId="38" xfId="1" applyNumberFormat="1" applyFont="1" applyFill="1" applyBorder="1" applyAlignment="1" applyProtection="1">
      <alignment horizontal="center"/>
    </xf>
    <xf numFmtId="178" fontId="20" fillId="7" borderId="39" xfId="1" applyNumberFormat="1" applyFont="1" applyFill="1" applyBorder="1" applyAlignment="1" applyProtection="1">
      <alignment horizontal="center"/>
    </xf>
    <xf numFmtId="178" fontId="20" fillId="7" borderId="116" xfId="1" applyNumberFormat="1" applyFont="1" applyFill="1" applyBorder="1" applyAlignment="1" applyProtection="1">
      <alignment horizontal="center"/>
    </xf>
    <xf numFmtId="0" fontId="61" fillId="0" borderId="0" xfId="0" applyFont="1" applyAlignment="1">
      <alignment vertical="center"/>
    </xf>
    <xf numFmtId="0" fontId="45" fillId="19" borderId="81" xfId="0" applyFont="1" applyFill="1" applyBorder="1" applyAlignment="1">
      <alignment horizontal="left"/>
    </xf>
    <xf numFmtId="0" fontId="43" fillId="7" borderId="0" xfId="0" applyFont="1" applyFill="1" applyAlignment="1">
      <alignment horizontal="center"/>
    </xf>
    <xf numFmtId="9" fontId="46" fillId="2" borderId="77" xfId="0" applyNumberFormat="1" applyFont="1" applyFill="1" applyBorder="1" applyAlignment="1">
      <alignment horizontal="center"/>
    </xf>
    <xf numFmtId="9" fontId="46" fillId="2" borderId="74" xfId="0" applyNumberFormat="1" applyFont="1" applyFill="1" applyBorder="1" applyAlignment="1">
      <alignment horizontal="center"/>
    </xf>
    <xf numFmtId="0" fontId="45" fillId="55" borderId="94" xfId="0" applyFont="1" applyFill="1" applyBorder="1" applyAlignment="1">
      <alignment horizontal="right"/>
    </xf>
    <xf numFmtId="0" fontId="45" fillId="35" borderId="105" xfId="0" applyFont="1" applyFill="1" applyBorder="1" applyAlignment="1">
      <alignment horizontal="center"/>
    </xf>
    <xf numFmtId="0" fontId="45" fillId="35" borderId="86" xfId="0" applyFont="1" applyFill="1" applyBorder="1" applyAlignment="1">
      <alignment horizontal="center"/>
    </xf>
    <xf numFmtId="0" fontId="45" fillId="35" borderId="102" xfId="0" applyFont="1" applyFill="1" applyBorder="1" applyAlignment="1">
      <alignment horizontal="center"/>
    </xf>
    <xf numFmtId="178" fontId="46" fillId="35" borderId="100" xfId="0" applyNumberFormat="1" applyFont="1" applyFill="1" applyBorder="1"/>
    <xf numFmtId="178" fontId="47" fillId="35" borderId="58" xfId="0" applyNumberFormat="1" applyFont="1" applyFill="1" applyBorder="1" applyAlignment="1">
      <alignment horizontal="center" vertical="center"/>
    </xf>
    <xf numFmtId="178" fontId="46" fillId="35" borderId="58" xfId="0" applyNumberFormat="1" applyFont="1" applyFill="1" applyBorder="1"/>
    <xf numFmtId="178" fontId="46" fillId="35" borderId="103" xfId="0" applyNumberFormat="1" applyFont="1" applyFill="1" applyBorder="1"/>
    <xf numFmtId="178" fontId="46" fillId="53" borderId="59" xfId="0" applyNumberFormat="1" applyFont="1" applyFill="1" applyBorder="1"/>
    <xf numFmtId="178" fontId="46" fillId="35" borderId="60" xfId="0" applyNumberFormat="1" applyFont="1" applyFill="1" applyBorder="1"/>
    <xf numFmtId="0" fontId="45" fillId="35" borderId="21" xfId="0" applyFont="1" applyFill="1" applyBorder="1" applyAlignment="1">
      <alignment horizontal="center"/>
    </xf>
    <xf numFmtId="0" fontId="48" fillId="0" borderId="73" xfId="0" applyFont="1" applyBorder="1" applyAlignment="1">
      <alignment horizontal="center"/>
    </xf>
    <xf numFmtId="0" fontId="48" fillId="0" borderId="75" xfId="0" applyFont="1" applyBorder="1"/>
    <xf numFmtId="0" fontId="43" fillId="29" borderId="117" xfId="0" applyFont="1" applyFill="1" applyBorder="1" applyAlignment="1">
      <alignment horizontal="center"/>
    </xf>
    <xf numFmtId="0" fontId="43" fillId="28" borderId="101" xfId="0" applyFont="1" applyFill="1" applyBorder="1" applyAlignment="1">
      <alignment horizontal="center"/>
    </xf>
    <xf numFmtId="0" fontId="43" fillId="29" borderId="83" xfId="0" applyFont="1" applyFill="1" applyBorder="1" applyAlignment="1">
      <alignment horizontal="center"/>
    </xf>
    <xf numFmtId="0" fontId="43" fillId="28" borderId="105" xfId="0" applyFont="1" applyFill="1" applyBorder="1" applyAlignment="1">
      <alignment horizontal="center"/>
    </xf>
    <xf numFmtId="0" fontId="43" fillId="28" borderId="102" xfId="0" applyFont="1" applyFill="1" applyBorder="1" applyAlignment="1">
      <alignment horizontal="center"/>
    </xf>
    <xf numFmtId="0" fontId="43" fillId="29" borderId="118" xfId="0" applyFont="1" applyFill="1" applyBorder="1" applyAlignment="1">
      <alignment horizontal="center"/>
    </xf>
    <xf numFmtId="170" fontId="48" fillId="28" borderId="100" xfId="0" applyNumberFormat="1" applyFont="1" applyFill="1" applyBorder="1"/>
    <xf numFmtId="178" fontId="48" fillId="34" borderId="58" xfId="0" applyNumberFormat="1" applyFont="1" applyFill="1" applyBorder="1"/>
    <xf numFmtId="170" fontId="48" fillId="28" borderId="103" xfId="0" applyNumberFormat="1" applyFont="1" applyFill="1" applyBorder="1"/>
    <xf numFmtId="170" fontId="48" fillId="28" borderId="59" xfId="0" applyNumberFormat="1" applyFont="1" applyFill="1" applyBorder="1"/>
    <xf numFmtId="178" fontId="48" fillId="31" borderId="59" xfId="0" applyNumberFormat="1" applyFont="1" applyFill="1" applyBorder="1"/>
    <xf numFmtId="178" fontId="1" fillId="25" borderId="59" xfId="0" applyNumberFormat="1" applyFont="1" applyFill="1" applyBorder="1"/>
    <xf numFmtId="178" fontId="48" fillId="34" borderId="60" xfId="0" applyNumberFormat="1" applyFont="1" applyFill="1" applyBorder="1"/>
    <xf numFmtId="0" fontId="45" fillId="50" borderId="90" xfId="0" applyFont="1" applyFill="1" applyBorder="1" applyAlignment="1">
      <alignment horizontal="center"/>
    </xf>
    <xf numFmtId="178" fontId="46" fillId="34" borderId="19" xfId="0" applyNumberFormat="1" applyFont="1" applyFill="1" applyBorder="1" applyAlignment="1">
      <alignment horizontal="center"/>
    </xf>
    <xf numFmtId="178" fontId="46" fillId="34" borderId="100" xfId="0" applyNumberFormat="1" applyFont="1" applyFill="1" applyBorder="1" applyAlignment="1">
      <alignment horizontal="center"/>
    </xf>
    <xf numFmtId="10" fontId="4" fillId="34" borderId="100" xfId="1" applyNumberFormat="1" applyFill="1" applyBorder="1"/>
    <xf numFmtId="10" fontId="4" fillId="34" borderId="103" xfId="1" applyNumberFormat="1" applyFill="1" applyBorder="1"/>
    <xf numFmtId="178" fontId="46" fillId="34" borderId="59" xfId="0" applyNumberFormat="1" applyFont="1" applyFill="1" applyBorder="1" applyAlignment="1">
      <alignment horizontal="center"/>
    </xf>
    <xf numFmtId="0" fontId="45" fillId="34" borderId="58" xfId="0" applyFont="1" applyFill="1" applyBorder="1" applyAlignment="1">
      <alignment horizontal="center" vertical="center"/>
    </xf>
    <xf numFmtId="0" fontId="45" fillId="34" borderId="58" xfId="0" applyFont="1" applyFill="1" applyBorder="1" applyAlignment="1">
      <alignment horizontal="center"/>
    </xf>
    <xf numFmtId="0" fontId="46" fillId="34" borderId="19" xfId="0" applyFont="1" applyFill="1" applyBorder="1"/>
    <xf numFmtId="0" fontId="46" fillId="34" borderId="58" xfId="0" applyFont="1" applyFill="1" applyBorder="1"/>
    <xf numFmtId="178" fontId="46" fillId="34" borderId="58" xfId="0" applyNumberFormat="1" applyFont="1" applyFill="1" applyBorder="1"/>
    <xf numFmtId="178" fontId="46" fillId="34" borderId="60" xfId="0" applyNumberFormat="1" applyFont="1" applyFill="1" applyBorder="1"/>
    <xf numFmtId="178" fontId="68" fillId="34" borderId="19" xfId="0" applyNumberFormat="1" applyFont="1" applyFill="1" applyBorder="1" applyAlignment="1">
      <alignment horizontal="center" wrapText="1"/>
    </xf>
    <xf numFmtId="0" fontId="45" fillId="2" borderId="0" xfId="0" applyFont="1" applyFill="1" applyAlignment="1" applyProtection="1">
      <alignment horizontal="center" vertical="center"/>
      <protection locked="0"/>
    </xf>
    <xf numFmtId="0" fontId="43" fillId="0" borderId="0" xfId="0" applyFont="1" applyAlignment="1">
      <alignment horizontal="center" vertical="center"/>
    </xf>
    <xf numFmtId="168" fontId="11" fillId="4" borderId="66" xfId="0" applyNumberFormat="1" applyFont="1" applyFill="1" applyBorder="1" applyAlignment="1">
      <alignment horizontal="right"/>
    </xf>
    <xf numFmtId="167" fontId="11" fillId="4" borderId="58" xfId="0" applyNumberFormat="1" applyFont="1" applyFill="1" applyBorder="1" applyAlignment="1">
      <alignment horizontal="center"/>
    </xf>
    <xf numFmtId="167" fontId="11" fillId="4" borderId="58" xfId="0" applyNumberFormat="1" applyFont="1" applyFill="1" applyBorder="1"/>
    <xf numFmtId="0" fontId="11" fillId="3" borderId="58" xfId="0" applyFont="1" applyFill="1" applyBorder="1"/>
    <xf numFmtId="167" fontId="11" fillId="54" borderId="58" xfId="0" applyNumberFormat="1" applyFont="1" applyFill="1" applyBorder="1"/>
    <xf numFmtId="0" fontId="11" fillId="3" borderId="66" xfId="0" applyFont="1" applyFill="1" applyBorder="1"/>
    <xf numFmtId="10" fontId="11" fillId="3" borderId="66" xfId="0" applyNumberFormat="1" applyFont="1" applyFill="1" applyBorder="1"/>
    <xf numFmtId="14" fontId="0" fillId="0" borderId="19" xfId="0" applyNumberFormat="1" applyBorder="1" applyAlignment="1">
      <alignment horizontal="center" vertical="center" wrapText="1"/>
    </xf>
    <xf numFmtId="0" fontId="24" fillId="0" borderId="0" xfId="0" applyFont="1" applyAlignment="1">
      <alignment horizontal="left" vertical="top" wrapText="1"/>
    </xf>
    <xf numFmtId="0" fontId="78" fillId="54" borderId="94" xfId="0" applyFont="1" applyFill="1" applyBorder="1" applyAlignment="1">
      <alignment horizontal="center" vertical="center"/>
    </xf>
    <xf numFmtId="0" fontId="78" fillId="54" borderId="95" xfId="0" applyFont="1" applyFill="1" applyBorder="1" applyAlignment="1">
      <alignment horizontal="center" vertical="center"/>
    </xf>
    <xf numFmtId="0" fontId="78" fillId="54" borderId="93" xfId="0" applyFont="1" applyFill="1" applyBorder="1" applyAlignment="1">
      <alignment horizontal="center" vertical="center"/>
    </xf>
    <xf numFmtId="0" fontId="79" fillId="27" borderId="25" xfId="0" applyFont="1" applyFill="1" applyBorder="1" applyAlignment="1">
      <alignment vertical="center" wrapText="1"/>
    </xf>
    <xf numFmtId="0" fontId="79" fillId="27" borderId="81" xfId="0" applyFont="1" applyFill="1" applyBorder="1" applyAlignment="1">
      <alignment vertical="center" wrapText="1"/>
    </xf>
    <xf numFmtId="0" fontId="79" fillId="27" borderId="85" xfId="0" applyFont="1" applyFill="1" applyBorder="1" applyAlignment="1">
      <alignment vertical="center" wrapText="1"/>
    </xf>
    <xf numFmtId="0" fontId="79" fillId="27" borderId="75" xfId="0" applyFont="1" applyFill="1" applyBorder="1" applyAlignment="1">
      <alignment vertical="center" wrapText="1"/>
    </xf>
    <xf numFmtId="0" fontId="79" fillId="27" borderId="0" xfId="0" applyFont="1" applyFill="1" applyAlignment="1">
      <alignment vertical="center" wrapText="1"/>
    </xf>
    <xf numFmtId="0" fontId="79" fillId="27" borderId="86" xfId="0" applyFont="1" applyFill="1" applyBorder="1" applyAlignment="1">
      <alignment vertical="center" wrapText="1"/>
    </xf>
    <xf numFmtId="0" fontId="0" fillId="27" borderId="87" xfId="0" applyFill="1" applyBorder="1" applyAlignment="1">
      <alignment vertical="top" wrapText="1"/>
    </xf>
    <xf numFmtId="0" fontId="0" fillId="27" borderId="88" xfId="0" applyFill="1" applyBorder="1" applyAlignment="1">
      <alignment vertical="top" wrapText="1"/>
    </xf>
    <xf numFmtId="0" fontId="0" fillId="27" borderId="89" xfId="0" applyFill="1" applyBorder="1" applyAlignment="1">
      <alignment vertical="top" wrapText="1"/>
    </xf>
    <xf numFmtId="0" fontId="78" fillId="4" borderId="25" xfId="0" applyFont="1" applyFill="1" applyBorder="1" applyAlignment="1">
      <alignment horizontal="center" vertical="center" wrapText="1"/>
    </xf>
    <xf numFmtId="0" fontId="78" fillId="4" borderId="81" xfId="0" applyFont="1" applyFill="1" applyBorder="1" applyAlignment="1">
      <alignment horizontal="center" vertical="center" wrapText="1"/>
    </xf>
    <xf numFmtId="0" fontId="78" fillId="4" borderId="75" xfId="0" applyFont="1" applyFill="1" applyBorder="1" applyAlignment="1">
      <alignment horizontal="center" vertical="center" wrapText="1"/>
    </xf>
    <xf numFmtId="0" fontId="78" fillId="4" borderId="0" xfId="0" applyFont="1" applyFill="1" applyAlignment="1">
      <alignment horizontal="center" vertical="center" wrapText="1"/>
    </xf>
    <xf numFmtId="0" fontId="78" fillId="4" borderId="87" xfId="0" applyFont="1" applyFill="1" applyBorder="1" applyAlignment="1">
      <alignment horizontal="center" vertical="center" wrapText="1"/>
    </xf>
    <xf numFmtId="0" fontId="78" fillId="4" borderId="88" xfId="0" applyFont="1" applyFill="1" applyBorder="1" applyAlignment="1">
      <alignment horizontal="center" vertical="center" wrapText="1"/>
    </xf>
    <xf numFmtId="165" fontId="25" fillId="2" borderId="0" xfId="0" applyNumberFormat="1" applyFont="1" applyFill="1" applyAlignment="1" applyProtection="1">
      <alignment horizontal="left" vertical="center" wrapText="1"/>
      <protection locked="0"/>
    </xf>
    <xf numFmtId="0" fontId="0" fillId="0" borderId="0" xfId="0" applyAlignment="1">
      <alignment horizontal="left" wrapText="1"/>
    </xf>
    <xf numFmtId="0" fontId="17" fillId="9" borderId="12" xfId="2" applyFont="1" applyFill="1" applyBorder="1" applyAlignment="1" applyProtection="1">
      <alignment horizontal="center" vertical="top" wrapText="1"/>
    </xf>
    <xf numFmtId="0" fontId="17" fillId="9" borderId="0" xfId="2" applyFont="1" applyFill="1" applyBorder="1" applyAlignment="1" applyProtection="1">
      <alignment horizontal="center" vertical="top" wrapText="1"/>
    </xf>
    <xf numFmtId="0" fontId="11" fillId="0" borderId="41" xfId="0" applyFont="1" applyBorder="1" applyAlignment="1">
      <alignment horizontal="left" vertical="center" wrapText="1"/>
    </xf>
    <xf numFmtId="0" fontId="11" fillId="0" borderId="0" xfId="0" applyFont="1" applyAlignment="1">
      <alignment horizontal="left" vertical="center" wrapText="1"/>
    </xf>
    <xf numFmtId="0" fontId="72" fillId="43" borderId="41" xfId="0" applyFont="1" applyFill="1" applyBorder="1" applyAlignment="1" applyProtection="1">
      <alignment horizontal="left" vertical="center"/>
      <protection locked="0"/>
    </xf>
    <xf numFmtId="0" fontId="72" fillId="43" borderId="0" xfId="0" applyFont="1" applyFill="1" applyAlignment="1" applyProtection="1">
      <alignment horizontal="left" vertical="center"/>
      <protection locked="0"/>
    </xf>
    <xf numFmtId="0" fontId="21" fillId="8" borderId="20"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15" fillId="8" borderId="33" xfId="0" applyFont="1" applyFill="1" applyBorder="1" applyAlignment="1">
      <alignment horizontal="left"/>
    </xf>
    <xf numFmtId="0" fontId="15" fillId="8" borderId="34" xfId="0" applyFont="1" applyFill="1" applyBorder="1" applyAlignment="1">
      <alignment horizontal="left"/>
    </xf>
    <xf numFmtId="0" fontId="15" fillId="8" borderId="35" xfId="0" applyFont="1" applyFill="1" applyBorder="1" applyAlignment="1">
      <alignment horizontal="left"/>
    </xf>
    <xf numFmtId="0" fontId="16" fillId="4" borderId="15" xfId="0" applyFont="1" applyFill="1" applyBorder="1" applyAlignment="1">
      <alignment horizontal="center"/>
    </xf>
    <xf numFmtId="0" fontId="16" fillId="4" borderId="37" xfId="0" applyFont="1" applyFill="1" applyBorder="1" applyAlignment="1">
      <alignment horizontal="center"/>
    </xf>
    <xf numFmtId="0" fontId="21" fillId="8" borderId="96" xfId="0" applyFont="1" applyFill="1" applyBorder="1" applyAlignment="1">
      <alignment horizontal="center" vertical="center" wrapText="1"/>
    </xf>
    <xf numFmtId="0" fontId="21" fillId="8" borderId="97" xfId="0" applyFont="1" applyFill="1" applyBorder="1" applyAlignment="1">
      <alignment horizontal="center" vertical="center" wrapText="1"/>
    </xf>
    <xf numFmtId="0" fontId="21" fillId="8" borderId="98" xfId="0" applyFont="1" applyFill="1" applyBorder="1" applyAlignment="1">
      <alignment horizontal="center" vertical="center" wrapText="1"/>
    </xf>
    <xf numFmtId="0" fontId="11" fillId="0" borderId="41" xfId="0" applyFont="1" applyBorder="1" applyAlignment="1">
      <alignment vertical="center" wrapText="1"/>
    </xf>
    <xf numFmtId="0" fontId="11" fillId="0" borderId="0" xfId="0" applyFont="1" applyAlignment="1">
      <alignment vertical="center" wrapText="1"/>
    </xf>
    <xf numFmtId="0" fontId="64" fillId="54" borderId="41" xfId="0" applyFont="1" applyFill="1" applyBorder="1" applyAlignment="1">
      <alignment horizontal="left" vertical="top" wrapText="1"/>
    </xf>
    <xf numFmtId="0" fontId="64" fillId="54" borderId="0" xfId="0" applyFont="1" applyFill="1" applyAlignment="1">
      <alignment horizontal="left" vertical="top" wrapText="1"/>
    </xf>
    <xf numFmtId="0" fontId="13" fillId="0" borderId="65" xfId="0" applyFont="1" applyBorder="1" applyAlignment="1">
      <alignment horizontal="center"/>
    </xf>
    <xf numFmtId="0" fontId="13" fillId="0" borderId="67" xfId="0" applyFont="1" applyBorder="1" applyAlignment="1">
      <alignment horizontal="center"/>
    </xf>
    <xf numFmtId="0" fontId="13" fillId="0" borderId="66" xfId="0" applyFont="1" applyBorder="1" applyAlignment="1">
      <alignment horizontal="center"/>
    </xf>
    <xf numFmtId="0" fontId="12" fillId="23" borderId="73" xfId="0" applyFont="1" applyFill="1" applyBorder="1" applyAlignment="1">
      <alignment horizontal="left" vertical="center" wrapText="1"/>
    </xf>
    <xf numFmtId="0" fontId="12" fillId="23" borderId="67" xfId="0" applyFont="1" applyFill="1" applyBorder="1" applyAlignment="1">
      <alignment horizontal="left" vertical="center"/>
    </xf>
    <xf numFmtId="0" fontId="12" fillId="23" borderId="74" xfId="0" applyFont="1" applyFill="1" applyBorder="1" applyAlignment="1">
      <alignment horizontal="left" vertical="center"/>
    </xf>
    <xf numFmtId="0" fontId="70" fillId="2" borderId="70" xfId="0" applyFont="1" applyFill="1" applyBorder="1" applyAlignment="1">
      <alignment horizontal="center" vertical="center"/>
    </xf>
    <xf numFmtId="0" fontId="70" fillId="2" borderId="76" xfId="0" applyFont="1" applyFill="1" applyBorder="1" applyAlignment="1">
      <alignment horizontal="center" vertical="center"/>
    </xf>
    <xf numFmtId="0" fontId="70" fillId="2" borderId="68" xfId="0" applyFont="1" applyFill="1" applyBorder="1" applyAlignment="1">
      <alignment horizontal="center" vertical="center"/>
    </xf>
    <xf numFmtId="0" fontId="70" fillId="2" borderId="41" xfId="0" applyFont="1" applyFill="1" applyBorder="1" applyAlignment="1">
      <alignment horizontal="center" vertical="center"/>
    </xf>
    <xf numFmtId="0" fontId="70" fillId="2" borderId="0" xfId="0" applyFont="1" applyFill="1" applyAlignment="1">
      <alignment horizontal="center" vertical="center"/>
    </xf>
    <xf numFmtId="0" fontId="70" fillId="2" borderId="69" xfId="0" applyFont="1" applyFill="1" applyBorder="1" applyAlignment="1">
      <alignment horizontal="center" vertical="center"/>
    </xf>
    <xf numFmtId="0" fontId="70" fillId="2" borderId="20" xfId="0" applyFont="1" applyFill="1" applyBorder="1" applyAlignment="1">
      <alignment horizontal="center" vertical="center"/>
    </xf>
    <xf numFmtId="0" fontId="70" fillId="2" borderId="21" xfId="0" applyFont="1" applyFill="1" applyBorder="1" applyAlignment="1">
      <alignment horizontal="center" vertical="center"/>
    </xf>
    <xf numFmtId="0" fontId="70" fillId="2" borderId="77" xfId="0" applyFont="1" applyFill="1" applyBorder="1" applyAlignment="1">
      <alignment horizontal="center" vertical="center"/>
    </xf>
    <xf numFmtId="0" fontId="0" fillId="0" borderId="0" xfId="0" applyAlignment="1">
      <alignment horizontal="left" vertical="top" wrapText="1"/>
    </xf>
    <xf numFmtId="0" fontId="12" fillId="0" borderId="73" xfId="0" applyFont="1" applyBorder="1" applyAlignment="1">
      <alignment horizontal="center"/>
    </xf>
    <xf numFmtId="0" fontId="12" fillId="0" borderId="67" xfId="0" applyFont="1" applyBorder="1" applyAlignment="1">
      <alignment horizontal="center"/>
    </xf>
    <xf numFmtId="0" fontId="12" fillId="0" borderId="74" xfId="0" applyFont="1" applyBorder="1" applyAlignment="1">
      <alignment horizontal="center"/>
    </xf>
    <xf numFmtId="0" fontId="32" fillId="0" borderId="70" xfId="2" applyFont="1" applyBorder="1" applyAlignment="1">
      <alignment horizontal="center"/>
    </xf>
    <xf numFmtId="0" fontId="32" fillId="0" borderId="76" xfId="2" applyFont="1" applyBorder="1" applyAlignment="1">
      <alignment horizontal="center"/>
    </xf>
    <xf numFmtId="0" fontId="32" fillId="0" borderId="68" xfId="2" applyFont="1" applyBorder="1" applyAlignment="1">
      <alignment horizontal="center"/>
    </xf>
    <xf numFmtId="0" fontId="61" fillId="0" borderId="75" xfId="0" applyFont="1" applyBorder="1" applyAlignment="1">
      <alignment vertical="center"/>
    </xf>
    <xf numFmtId="0" fontId="61" fillId="0" borderId="0" xfId="0" applyFont="1" applyAlignment="1">
      <alignment vertical="center"/>
    </xf>
    <xf numFmtId="0" fontId="61" fillId="0" borderId="86" xfId="0" applyFont="1" applyBorder="1" applyAlignment="1">
      <alignment vertical="center"/>
    </xf>
    <xf numFmtId="0" fontId="73" fillId="0" borderId="0" xfId="0" applyFont="1" applyAlignment="1">
      <alignment vertical="center"/>
    </xf>
    <xf numFmtId="0" fontId="45" fillId="49" borderId="0" xfId="0" applyFont="1" applyFill="1" applyAlignment="1">
      <alignment horizontal="center"/>
    </xf>
    <xf numFmtId="0" fontId="45" fillId="49" borderId="86" xfId="0" applyFont="1" applyFill="1" applyBorder="1" applyAlignment="1">
      <alignment horizontal="center"/>
    </xf>
    <xf numFmtId="0" fontId="43" fillId="36" borderId="96" xfId="0" applyFont="1" applyFill="1" applyBorder="1" applyAlignment="1">
      <alignment horizontal="center"/>
    </xf>
    <xf numFmtId="0" fontId="43" fillId="36" borderId="97" xfId="0" applyFont="1" applyFill="1" applyBorder="1" applyAlignment="1">
      <alignment horizontal="center"/>
    </xf>
    <xf numFmtId="0" fontId="43" fillId="36" borderId="98" xfId="0" applyFont="1" applyFill="1" applyBorder="1" applyAlignment="1">
      <alignment horizontal="center"/>
    </xf>
    <xf numFmtId="0" fontId="57" fillId="44" borderId="20" xfId="0" applyFont="1" applyFill="1" applyBorder="1" applyAlignment="1">
      <alignment horizontal="center" vertical="center"/>
    </xf>
    <xf numFmtId="0" fontId="57" fillId="44" borderId="21" xfId="0" applyFont="1" applyFill="1" applyBorder="1" applyAlignment="1">
      <alignment horizontal="center" vertical="center"/>
    </xf>
    <xf numFmtId="0" fontId="57" fillId="44" borderId="77" xfId="0" applyFont="1" applyFill="1" applyBorder="1" applyAlignment="1">
      <alignment horizontal="center" vertical="center"/>
    </xf>
    <xf numFmtId="1" fontId="42" fillId="0" borderId="20" xfId="0" applyNumberFormat="1" applyFont="1" applyBorder="1" applyAlignment="1">
      <alignment horizontal="center"/>
    </xf>
    <xf numFmtId="1" fontId="42" fillId="0" borderId="77" xfId="0" applyNumberFormat="1" applyFont="1" applyBorder="1" applyAlignment="1">
      <alignment horizontal="center"/>
    </xf>
    <xf numFmtId="0" fontId="47" fillId="2" borderId="0" xfId="0" applyFont="1" applyFill="1" applyAlignment="1" applyProtection="1">
      <alignment horizontal="center" vertical="top" wrapText="1"/>
      <protection locked="0"/>
    </xf>
    <xf numFmtId="0" fontId="20" fillId="51" borderId="0" xfId="0" applyFont="1" applyFill="1" applyAlignment="1">
      <alignment horizontal="center"/>
    </xf>
    <xf numFmtId="0" fontId="20" fillId="51" borderId="0" xfId="0" applyFont="1" applyFill="1" applyAlignment="1">
      <alignment horizontal="left"/>
    </xf>
    <xf numFmtId="0" fontId="45" fillId="49" borderId="0" xfId="0" applyFont="1" applyFill="1" applyAlignment="1" applyProtection="1">
      <alignment horizontal="center"/>
      <protection locked="0"/>
    </xf>
    <xf numFmtId="0" fontId="43" fillId="30" borderId="73" xfId="0" applyFont="1" applyFill="1" applyBorder="1" applyAlignment="1">
      <alignment horizontal="center"/>
    </xf>
    <xf numFmtId="0" fontId="43" fillId="30" borderId="67" xfId="0" applyFont="1" applyFill="1" applyBorder="1" applyAlignment="1">
      <alignment horizontal="center"/>
    </xf>
    <xf numFmtId="0" fontId="43" fillId="30" borderId="74" xfId="0" applyFont="1" applyFill="1" applyBorder="1" applyAlignment="1">
      <alignment horizontal="center"/>
    </xf>
    <xf numFmtId="0" fontId="43" fillId="14" borderId="25" xfId="0" applyFont="1" applyFill="1" applyBorder="1" applyAlignment="1">
      <alignment horizontal="center"/>
    </xf>
    <xf numFmtId="0" fontId="43" fillId="14" borderId="81" xfId="0" applyFont="1" applyFill="1" applyBorder="1" applyAlignment="1">
      <alignment horizontal="center"/>
    </xf>
    <xf numFmtId="0" fontId="43" fillId="14" borderId="85" xfId="0" applyFont="1" applyFill="1" applyBorder="1" applyAlignment="1">
      <alignment horizontal="center"/>
    </xf>
    <xf numFmtId="0" fontId="45" fillId="6" borderId="73" xfId="0" applyFont="1" applyFill="1" applyBorder="1" applyAlignment="1">
      <alignment horizontal="center"/>
    </xf>
    <xf numFmtId="0" fontId="45" fillId="6" borderId="67" xfId="0" applyFont="1" applyFill="1" applyBorder="1" applyAlignment="1">
      <alignment horizontal="center"/>
    </xf>
    <xf numFmtId="0" fontId="45" fillId="6" borderId="74" xfId="0" applyFont="1" applyFill="1" applyBorder="1" applyAlignment="1">
      <alignment horizontal="center"/>
    </xf>
    <xf numFmtId="0" fontId="43" fillId="0" borderId="94" xfId="0" applyFont="1" applyBorder="1" applyAlignment="1">
      <alignment horizontal="center"/>
    </xf>
    <xf numFmtId="0" fontId="43" fillId="0" borderId="95" xfId="0" applyFont="1" applyBorder="1" applyAlignment="1">
      <alignment horizontal="center"/>
    </xf>
    <xf numFmtId="0" fontId="43" fillId="29" borderId="107" xfId="0" applyFont="1" applyFill="1" applyBorder="1" applyAlignment="1">
      <alignment horizontal="center"/>
    </xf>
    <xf numFmtId="0" fontId="43" fillId="29" borderId="108" xfId="0" applyFont="1" applyFill="1" applyBorder="1" applyAlignment="1">
      <alignment horizontal="center"/>
    </xf>
    <xf numFmtId="0" fontId="43" fillId="29" borderId="109" xfId="0" applyFont="1" applyFill="1" applyBorder="1" applyAlignment="1">
      <alignment horizontal="center"/>
    </xf>
    <xf numFmtId="0" fontId="43" fillId="52" borderId="25" xfId="0" applyFont="1" applyFill="1" applyBorder="1" applyAlignment="1">
      <alignment horizontal="center"/>
    </xf>
    <xf numFmtId="0" fontId="43" fillId="52" borderId="85" xfId="0" applyFont="1" applyFill="1" applyBorder="1" applyAlignment="1">
      <alignment horizontal="center"/>
    </xf>
    <xf numFmtId="0" fontId="43" fillId="52" borderId="87" xfId="0" applyFont="1" applyFill="1" applyBorder="1" applyAlignment="1">
      <alignment horizontal="center"/>
    </xf>
    <xf numFmtId="0" fontId="43" fillId="52" borderId="89" xfId="0" applyFont="1" applyFill="1" applyBorder="1" applyAlignment="1">
      <alignment horizontal="center"/>
    </xf>
    <xf numFmtId="0" fontId="15" fillId="8" borderId="46" xfId="0" applyFont="1" applyFill="1" applyBorder="1" applyAlignment="1">
      <alignment horizontal="left"/>
    </xf>
    <xf numFmtId="0" fontId="15" fillId="8" borderId="47" xfId="0" applyFont="1" applyFill="1" applyBorder="1" applyAlignment="1">
      <alignment horizontal="left"/>
    </xf>
    <xf numFmtId="0" fontId="15" fillId="8" borderId="48" xfId="0" applyFont="1" applyFill="1" applyBorder="1" applyAlignment="1">
      <alignment horizontal="left"/>
    </xf>
    <xf numFmtId="0" fontId="16" fillId="7" borderId="42" xfId="0" applyFont="1" applyFill="1" applyBorder="1" applyAlignment="1">
      <alignment horizontal="center"/>
    </xf>
    <xf numFmtId="0" fontId="16" fillId="7" borderId="50" xfId="0" applyFont="1" applyFill="1" applyBorder="1" applyAlignment="1">
      <alignment horizontal="center"/>
    </xf>
    <xf numFmtId="0" fontId="41" fillId="2" borderId="0" xfId="0" applyFont="1" applyFill="1" applyAlignment="1">
      <alignment horizontal="center"/>
    </xf>
    <xf numFmtId="0" fontId="96" fillId="8" borderId="119" xfId="0" applyFont="1" applyFill="1" applyBorder="1" applyAlignment="1">
      <alignment horizontal="left"/>
    </xf>
    <xf numFmtId="173" fontId="16" fillId="7" borderId="39" xfId="4" applyNumberFormat="1" applyFont="1" applyFill="1" applyBorder="1" applyAlignment="1" applyProtection="1">
      <alignment horizontal="center"/>
    </xf>
    <xf numFmtId="173" fontId="16" fillId="7" borderId="116" xfId="4" applyNumberFormat="1" applyFont="1" applyFill="1" applyBorder="1" applyAlignment="1" applyProtection="1">
      <alignment horizontal="center"/>
    </xf>
    <xf numFmtId="0" fontId="96" fillId="8" borderId="119" xfId="0" applyFont="1" applyFill="1" applyBorder="1" applyAlignment="1">
      <alignment horizontal="center"/>
    </xf>
  </cellXfs>
  <cellStyles count="5">
    <cellStyle name="Komma" xfId="3" builtinId="3"/>
    <cellStyle name="Link" xfId="2" builtinId="8"/>
    <cellStyle name="Prozent" xfId="1" builtinId="5"/>
    <cellStyle name="Standard" xfId="0" builtinId="0"/>
    <cellStyle name="Währung" xfId="4" builtinId="4"/>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2"/>
      <rgbColor rgb="00CCFFFF"/>
      <rgbColor rgb="00660066"/>
      <rgbColor rgb="00FF8080"/>
      <rgbColor rgb="000066CC"/>
      <rgbColor rgb="00DDDDDD"/>
      <rgbColor rgb="00000080"/>
      <rgbColor rgb="00FF00FF"/>
      <rgbColor rgb="00FFFF00"/>
      <rgbColor rgb="0000FFFF"/>
      <rgbColor rgb="00800080"/>
      <rgbColor rgb="00800000"/>
      <rgbColor rgb="00008080"/>
      <rgbColor rgb="000000E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Hypothetischer Vermögenszuwachs</a:t>
            </a:r>
          </a:p>
          <a:p>
            <a:pPr>
              <a:defRPr/>
            </a:pPr>
            <a:r>
              <a:rPr lang="en-US"/>
              <a:t>(Mittelüberschuss</a:t>
            </a:r>
            <a:r>
              <a:rPr lang="en-US" baseline="0"/>
              <a:t> bei Verkauf)</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de-DE"/>
        </a:p>
      </c:txPr>
    </c:title>
    <c:autoTitleDeleted val="0"/>
    <c:plotArea>
      <c:layout>
        <c:manualLayout>
          <c:layoutTarget val="inner"/>
          <c:xMode val="edge"/>
          <c:yMode val="edge"/>
          <c:x val="0.15936624316887929"/>
          <c:y val="0.20941279848760164"/>
          <c:w val="0.76683300888126993"/>
          <c:h val="0.77331594739915821"/>
        </c:manualLayout>
      </c:layout>
      <c:areaChart>
        <c:grouping val="standard"/>
        <c:varyColors val="0"/>
        <c:ser>
          <c:idx val="0"/>
          <c:order val="0"/>
          <c:tx>
            <c:strRef>
              <c:f>Kennzahlen!$B$12</c:f>
              <c:strCache>
                <c:ptCount val="1"/>
                <c:pt idx="0">
                  <c:v>Hypoth. Mittel-Überschuss bei Verkauf</c:v>
                </c:pt>
              </c:strCache>
            </c:strRef>
          </c:tx>
          <c:spPr>
            <a:solidFill>
              <a:schemeClr val="accent1">
                <a:alpha val="85000"/>
              </a:schemeClr>
            </a:solidFill>
            <a:ln w="25400">
              <a:noFill/>
            </a:ln>
            <a:effectLst>
              <a:innerShdw dist="12700" dir="16200000">
                <a:schemeClr val="lt1"/>
              </a:innerShdw>
            </a:effectLst>
          </c:spPr>
          <c:val>
            <c:numRef>
              <c:f>Kennzahlen!$C$12:$AF$12</c:f>
              <c:numCache>
                <c:formatCode>#,##0</c:formatCode>
                <c:ptCount val="30"/>
                <c:pt idx="0">
                  <c:v>-84920.942700294079</c:v>
                </c:pt>
                <c:pt idx="1">
                  <c:v>-59141.220135859679</c:v>
                </c:pt>
                <c:pt idx="2">
                  <c:v>-32356.906671083765</c:v>
                </c:pt>
                <c:pt idx="3">
                  <c:v>-4542.7581097963266</c:v>
                </c:pt>
                <c:pt idx="4">
                  <c:v>24327.151524713263</c:v>
                </c:pt>
                <c:pt idx="5">
                  <c:v>51279.448977395194</c:v>
                </c:pt>
                <c:pt idx="6">
                  <c:v>79273.936284935568</c:v>
                </c:pt>
                <c:pt idx="7">
                  <c:v>108268.45682604285</c:v>
                </c:pt>
                <c:pt idx="8">
                  <c:v>123881.89826725447</c:v>
                </c:pt>
                <c:pt idx="9">
                  <c:v>140288.35462669004</c:v>
                </c:pt>
                <c:pt idx="10">
                  <c:v>155928.4507433204</c:v>
                </c:pt>
                <c:pt idx="11">
                  <c:v>172465.58417091845</c:v>
                </c:pt>
                <c:pt idx="12">
                  <c:v>189924.28611410945</c:v>
                </c:pt>
                <c:pt idx="13">
                  <c:v>208329.83305577026</c:v>
                </c:pt>
                <c:pt idx="14">
                  <c:v>227708.27036393853</c:v>
                </c:pt>
                <c:pt idx="15">
                  <c:v>248086.43665850302</c:v>
                </c:pt>
                <c:pt idx="16">
                  <c:v>269491.98896227614</c:v>
                </c:pt>
                <c:pt idx="17">
                  <c:v>291953.42866184399</c:v>
                </c:pt>
                <c:pt idx="18">
                  <c:v>315500.12830442726</c:v>
                </c:pt>
                <c:pt idx="19">
                  <c:v>340162.3592578196</c:v>
                </c:pt>
                <c:pt idx="20">
                  <c:v>365971.32026136294</c:v>
                </c:pt>
                <c:pt idx="21">
                  <c:v>392959.166896821</c:v>
                </c:pt>
                <c:pt idx="22">
                  <c:v>421159.04200894595</c:v>
                </c:pt>
                <c:pt idx="23">
                  <c:v>450605.10710650892</c:v>
                </c:pt>
                <c:pt idx="24">
                  <c:v>481332.57477555471</c:v>
                </c:pt>
                <c:pt idx="25">
                  <c:v>513377.7421376782</c:v>
                </c:pt>
                <c:pt idx="26">
                  <c:v>545684.30007123784</c:v>
                </c:pt>
                <c:pt idx="27">
                  <c:v>578255.27342147403</c:v>
                </c:pt>
                <c:pt idx="28">
                  <c:v>611093.72331089946</c:v>
                </c:pt>
                <c:pt idx="29">
                  <c:v>644202.74758189404</c:v>
                </c:pt>
              </c:numCache>
            </c:numRef>
          </c:val>
          <c:extLst>
            <c:ext xmlns:c16="http://schemas.microsoft.com/office/drawing/2014/chart" uri="{C3380CC4-5D6E-409C-BE32-E72D297353CC}">
              <c16:uniqueId val="{00000001-28F5-4FF9-8326-3F17961BA4F3}"/>
            </c:ext>
          </c:extLst>
        </c:ser>
        <c:dLbls>
          <c:showLegendKey val="0"/>
          <c:showVal val="0"/>
          <c:showCatName val="0"/>
          <c:showSerName val="0"/>
          <c:showPercent val="0"/>
          <c:showBubbleSize val="0"/>
        </c:dLbls>
        <c:axId val="106542976"/>
        <c:axId val="106544512"/>
      </c:areaChart>
      <c:dateAx>
        <c:axId val="10654297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de-DE"/>
                  <a:t>Jahr</a:t>
                </a:r>
              </a:p>
            </c:rich>
          </c:tx>
          <c:layout>
            <c:manualLayout>
              <c:xMode val="edge"/>
              <c:yMode val="edge"/>
              <c:x val="0.94161689933685822"/>
              <c:y val="0.9049164418258905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de-DE"/>
            </a:p>
          </c:txPr>
        </c:title>
        <c:numFmt formatCode="#,##0" sourceLinked="0"/>
        <c:majorTickMark val="none"/>
        <c:minorTickMark val="in"/>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de-DE"/>
          </a:p>
        </c:txPr>
        <c:crossAx val="106544512"/>
        <c:crosses val="autoZero"/>
        <c:auto val="0"/>
        <c:lblOffset val="100"/>
        <c:baseTimeUnit val="days"/>
        <c:majorUnit val="1"/>
      </c:dateAx>
      <c:valAx>
        <c:axId val="10654451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Euro</a:t>
                </a:r>
              </a:p>
            </c:rich>
          </c:tx>
          <c:layout>
            <c:manualLayout>
              <c:xMode val="edge"/>
              <c:yMode val="edge"/>
              <c:x val="3.2163801082835661E-2"/>
              <c:y val="0.47845704164601799"/>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de-DE"/>
            </a:p>
          </c:txPr>
        </c:title>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de-DE"/>
          </a:p>
        </c:txPr>
        <c:crossAx val="106542976"/>
        <c:crosses val="autoZero"/>
        <c:crossBetween val="midCat"/>
      </c:valAx>
      <c:spPr>
        <a:noFill/>
        <a:ln>
          <a:noFill/>
        </a:ln>
        <a:effectLst/>
      </c:spPr>
    </c:plotArea>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de-DE"/>
    </a:p>
  </c:txPr>
  <c:printSettings>
    <c:headerFooter/>
    <c:pageMargins b="0.75000000000000167" l="0.70000000000000062" r="0.70000000000000062" t="0.75000000000000167"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Kumul. Vermögensänderung</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de-DE"/>
        </a:p>
      </c:txPr>
    </c:title>
    <c:autoTitleDeleted val="0"/>
    <c:plotArea>
      <c:layout>
        <c:manualLayout>
          <c:layoutTarget val="inner"/>
          <c:xMode val="edge"/>
          <c:yMode val="edge"/>
          <c:x val="0.15936624316887929"/>
          <c:y val="0.20941279848760164"/>
          <c:w val="0.76683300888126993"/>
          <c:h val="0.77331594739915821"/>
        </c:manualLayout>
      </c:layout>
      <c:areaChart>
        <c:grouping val="standard"/>
        <c:varyColors val="0"/>
        <c:ser>
          <c:idx val="1"/>
          <c:order val="0"/>
          <c:tx>
            <c:strRef>
              <c:f>Kennzahlen!$B$13</c:f>
              <c:strCache>
                <c:ptCount val="1"/>
                <c:pt idx="0">
                  <c:v>Vermögen aus Tilgung + kumul. Cash Flow </c:v>
                </c:pt>
              </c:strCache>
            </c:strRef>
          </c:tx>
          <c:spPr>
            <a:solidFill>
              <a:schemeClr val="accent6">
                <a:lumMod val="60000"/>
                <a:lumOff val="40000"/>
              </a:schemeClr>
            </a:solidFill>
            <a:ln w="25400">
              <a:noFill/>
            </a:ln>
            <a:effectLst>
              <a:innerShdw dist="12700" dir="16200000">
                <a:schemeClr val="lt1"/>
              </a:innerShdw>
            </a:effectLst>
          </c:spPr>
          <c:val>
            <c:numRef>
              <c:f>Kennzahlen!$C$13:$AF$13</c:f>
              <c:numCache>
                <c:formatCode>#,##0</c:formatCode>
                <c:ptCount val="30"/>
                <c:pt idx="0">
                  <c:v>17079.057299706143</c:v>
                </c:pt>
                <c:pt idx="1">
                  <c:v>36617.779864140466</c:v>
                </c:pt>
                <c:pt idx="2">
                  <c:v>57119.788328916511</c:v>
                </c:pt>
                <c:pt idx="3">
                  <c:v>78610.019365204033</c:v>
                </c:pt>
                <c:pt idx="4">
                  <c:v>101114.08887708874</c:v>
                </c:pt>
                <c:pt idx="5">
                  <c:v>121658.31096643271</c:v>
                </c:pt>
                <c:pt idx="6">
                  <c:v>143202.17243331752</c:v>
                </c:pt>
                <c:pt idx="7">
                  <c:v>165703.19880305976</c:v>
                </c:pt>
                <c:pt idx="8">
                  <c:v>174779.95724852855</c:v>
                </c:pt>
                <c:pt idx="9">
                  <c:v>184606.21863018619</c:v>
                </c:pt>
                <c:pt idx="10">
                  <c:v>193622.28194142284</c:v>
                </c:pt>
                <c:pt idx="11">
                  <c:v>203491.21617834616</c:v>
                </c:pt>
                <c:pt idx="12">
                  <c:v>214237.22125144259</c:v>
                </c:pt>
                <c:pt idx="13">
                  <c:v>225885.23958835687</c:v>
                </c:pt>
                <c:pt idx="14">
                  <c:v>238460.97971595053</c:v>
                </c:pt>
                <c:pt idx="15">
                  <c:v>251990.94060190546</c:v>
                </c:pt>
                <c:pt idx="16">
                  <c:v>266502.43678047176</c:v>
                </c:pt>
                <c:pt idx="17">
                  <c:v>282023.62428775779</c:v>
                </c:pt>
                <c:pt idx="18">
                  <c:v>298583.52743278403</c:v>
                </c:pt>
                <c:pt idx="19">
                  <c:v>316212.0664313747</c:v>
                </c:pt>
                <c:pt idx="20">
                  <c:v>334940.08593083813</c:v>
                </c:pt>
                <c:pt idx="21">
                  <c:v>354799.3844542962</c:v>
                </c:pt>
                <c:pt idx="22">
                  <c:v>375822.74479445769</c:v>
                </c:pt>
                <c:pt idx="23">
                  <c:v>398043.96538759978</c:v>
                </c:pt>
                <c:pt idx="24">
                  <c:v>421497.89269951911</c:v>
                </c:pt>
                <c:pt idx="25">
                  <c:v>446220.45465624536</c:v>
                </c:pt>
                <c:pt idx="26">
                  <c:v>471154.96983743069</c:v>
                </c:pt>
                <c:pt idx="27">
                  <c:v>496304.0876583808</c:v>
                </c:pt>
                <c:pt idx="28">
                  <c:v>521670.49065209279</c:v>
                </c:pt>
                <c:pt idx="29">
                  <c:v>547256.89488322625</c:v>
                </c:pt>
              </c:numCache>
            </c:numRef>
          </c:val>
          <c:extLst>
            <c:ext xmlns:c16="http://schemas.microsoft.com/office/drawing/2014/chart" uri="{C3380CC4-5D6E-409C-BE32-E72D297353CC}">
              <c16:uniqueId val="{00000000-384B-4F47-97F4-66A32DF23D5E}"/>
            </c:ext>
          </c:extLst>
        </c:ser>
        <c:dLbls>
          <c:showLegendKey val="0"/>
          <c:showVal val="0"/>
          <c:showCatName val="0"/>
          <c:showSerName val="0"/>
          <c:showPercent val="0"/>
          <c:showBubbleSize val="0"/>
        </c:dLbls>
        <c:axId val="106542976"/>
        <c:axId val="106544512"/>
      </c:areaChart>
      <c:dateAx>
        <c:axId val="10654297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de-DE"/>
                  <a:t>Jahr</a:t>
                </a:r>
              </a:p>
            </c:rich>
          </c:tx>
          <c:layout>
            <c:manualLayout>
              <c:xMode val="edge"/>
              <c:yMode val="edge"/>
              <c:x val="0.94161689933685822"/>
              <c:y val="0.9049164418258905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de-DE"/>
            </a:p>
          </c:txPr>
        </c:title>
        <c:numFmt formatCode="#,##0" sourceLinked="0"/>
        <c:majorTickMark val="none"/>
        <c:minorTickMark val="in"/>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de-DE"/>
          </a:p>
        </c:txPr>
        <c:crossAx val="106544512"/>
        <c:crosses val="autoZero"/>
        <c:auto val="0"/>
        <c:lblOffset val="100"/>
        <c:baseTimeUnit val="days"/>
        <c:majorUnit val="1"/>
      </c:dateAx>
      <c:valAx>
        <c:axId val="10654451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Euro</a:t>
                </a:r>
              </a:p>
            </c:rich>
          </c:tx>
          <c:layout>
            <c:manualLayout>
              <c:xMode val="edge"/>
              <c:yMode val="edge"/>
              <c:x val="3.2163801082835661E-2"/>
              <c:y val="0.47845704164601799"/>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de-DE"/>
            </a:p>
          </c:txPr>
        </c:title>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de-DE"/>
          </a:p>
        </c:txPr>
        <c:crossAx val="106542976"/>
        <c:crosses val="autoZero"/>
        <c:crossBetween val="midCat"/>
      </c:valAx>
      <c:spPr>
        <a:noFill/>
        <a:ln>
          <a:noFill/>
        </a:ln>
        <a:effectLst/>
      </c:spPr>
    </c:plotArea>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de-DE"/>
    </a:p>
  </c:txPr>
  <c:printSettings>
    <c:headerFooter/>
    <c:pageMargins b="0.75000000000000167" l="0.70000000000000062" r="0.70000000000000062" t="0.75000000000000167"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de-DE" sz="1800" b="1"/>
              <a:t>Assest-Entwicklung</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8.6977780794642051E-2"/>
          <c:y val="0.11384286698436012"/>
          <c:w val="0.89922435426833069"/>
          <c:h val="0.74474098886810425"/>
        </c:manualLayout>
      </c:layout>
      <c:lineChart>
        <c:grouping val="standard"/>
        <c:varyColors val="0"/>
        <c:ser>
          <c:idx val="0"/>
          <c:order val="0"/>
          <c:tx>
            <c:strRef>
              <c:f>Kennzahlen!$B$7</c:f>
              <c:strCache>
                <c:ptCount val="1"/>
                <c:pt idx="0">
                  <c:v>Verkaufswert der Immobilie (Jahresanfang)</c:v>
                </c:pt>
              </c:strCache>
            </c:strRef>
          </c:tx>
          <c:spPr>
            <a:ln w="28575" cap="rnd">
              <a:solidFill>
                <a:schemeClr val="accent1"/>
              </a:solidFill>
              <a:round/>
            </a:ln>
            <a:effectLst/>
          </c:spPr>
          <c:marker>
            <c:symbol val="none"/>
          </c:marker>
          <c:val>
            <c:numRef>
              <c:f>Kennzahlen!$C$7:$AF$7</c:f>
              <c:numCache>
                <c:formatCode>#,##0</c:formatCode>
                <c:ptCount val="30"/>
                <c:pt idx="0">
                  <c:v>1046199.9999999999</c:v>
                </c:pt>
                <c:pt idx="1">
                  <c:v>1052440.9999999998</c:v>
                </c:pt>
                <c:pt idx="2">
                  <c:v>1058723.3049999997</c:v>
                </c:pt>
                <c:pt idx="3">
                  <c:v>1065047.2225249996</c:v>
                </c:pt>
                <c:pt idx="4">
                  <c:v>1071413.0626476244</c:v>
                </c:pt>
                <c:pt idx="5">
                  <c:v>1077821.1380109624</c:v>
                </c:pt>
                <c:pt idx="6">
                  <c:v>1084271.7638516182</c:v>
                </c:pt>
                <c:pt idx="7">
                  <c:v>1090765.2580229831</c:v>
                </c:pt>
                <c:pt idx="8">
                  <c:v>1097301.941018726</c:v>
                </c:pt>
                <c:pt idx="9">
                  <c:v>1103882.1359965038</c:v>
                </c:pt>
                <c:pt idx="10">
                  <c:v>1110506.1688018974</c:v>
                </c:pt>
                <c:pt idx="11">
                  <c:v>1117174.3679925723</c:v>
                </c:pt>
                <c:pt idx="12">
                  <c:v>1123887.0648626669</c:v>
                </c:pt>
                <c:pt idx="13">
                  <c:v>1130644.5934674134</c:v>
                </c:pt>
                <c:pt idx="14">
                  <c:v>1137447.290647988</c:v>
                </c:pt>
                <c:pt idx="15">
                  <c:v>1144295.4960565977</c:v>
                </c:pt>
                <c:pt idx="16">
                  <c:v>1151189.5521818043</c:v>
                </c:pt>
                <c:pt idx="17">
                  <c:v>1158129.8043740862</c:v>
                </c:pt>
                <c:pt idx="18">
                  <c:v>1165116.6008716433</c:v>
                </c:pt>
                <c:pt idx="19">
                  <c:v>1172150.2928264448</c:v>
                </c:pt>
                <c:pt idx="20">
                  <c:v>1179231.2343305249</c:v>
                </c:pt>
                <c:pt idx="21">
                  <c:v>1186359.7824425248</c:v>
                </c:pt>
                <c:pt idx="22">
                  <c:v>1193536.2972144883</c:v>
                </c:pt>
                <c:pt idx="23">
                  <c:v>1200761.1417189091</c:v>
                </c:pt>
                <c:pt idx="24">
                  <c:v>1208034.6820760355</c:v>
                </c:pt>
                <c:pt idx="25">
                  <c:v>1215357.2874814328</c:v>
                </c:pt>
                <c:pt idx="26">
                  <c:v>1222729.3302338072</c:v>
                </c:pt>
                <c:pt idx="27">
                  <c:v>1230151.1857630932</c:v>
                </c:pt>
                <c:pt idx="28">
                  <c:v>1237623.2326588067</c:v>
                </c:pt>
                <c:pt idx="29">
                  <c:v>1245145.8526986679</c:v>
                </c:pt>
              </c:numCache>
            </c:numRef>
          </c:val>
          <c:smooth val="0"/>
          <c:extLst>
            <c:ext xmlns:c16="http://schemas.microsoft.com/office/drawing/2014/chart" uri="{C3380CC4-5D6E-409C-BE32-E72D297353CC}">
              <c16:uniqueId val="{00000000-39CC-423C-ACE5-B71310BC49EA}"/>
            </c:ext>
          </c:extLst>
        </c:ser>
        <c:ser>
          <c:idx val="1"/>
          <c:order val="1"/>
          <c:tx>
            <c:strRef>
              <c:f>Kennzahlen!$B$10</c:f>
              <c:strCache>
                <c:ptCount val="1"/>
                <c:pt idx="0">
                  <c:v>Restschulden insgesamt am Jahresanfang</c:v>
                </c:pt>
              </c:strCache>
            </c:strRef>
          </c:tx>
          <c:spPr>
            <a:ln w="28575" cap="rnd">
              <a:solidFill>
                <a:schemeClr val="accent2"/>
              </a:solidFill>
              <a:round/>
            </a:ln>
            <a:effectLst/>
          </c:spPr>
          <c:marker>
            <c:symbol val="none"/>
          </c:marker>
          <c:val>
            <c:numRef>
              <c:f>Kennzahlen!$C$10:$AF$10</c:f>
              <c:numCache>
                <c:formatCode>#,##0</c:formatCode>
                <c:ptCount val="30"/>
                <c:pt idx="0">
                  <c:v>1048200</c:v>
                </c:pt>
                <c:pt idx="1">
                  <c:v>1013125.2438752787</c:v>
                </c:pt>
                <c:pt idx="2">
                  <c:v>977050.85720100289</c:v>
                </c:pt>
                <c:pt idx="3">
                  <c:v>939948.35050651012</c:v>
                </c:pt>
                <c:pt idx="4">
                  <c:v>901788.42237122427</c:v>
                </c:pt>
                <c:pt idx="5">
                  <c:v>862540.93628408283</c:v>
                </c:pt>
                <c:pt idx="6">
                  <c:v>823674.89684345783</c:v>
                </c:pt>
                <c:pt idx="7">
                  <c:v>785218.36363570392</c:v>
                </c:pt>
                <c:pt idx="8">
                  <c:v>751226.45014780329</c:v>
                </c:pt>
                <c:pt idx="9">
                  <c:v>716265.76712549757</c:v>
                </c:pt>
                <c:pt idx="10">
                  <c:v>680308.7046370561</c:v>
                </c:pt>
                <c:pt idx="11">
                  <c:v>644396.17435768596</c:v>
                </c:pt>
                <c:pt idx="12">
                  <c:v>607316.48684423626</c:v>
                </c:pt>
                <c:pt idx="13">
                  <c:v>569031.70948659943</c:v>
                </c:pt>
                <c:pt idx="14">
                  <c:v>529502.67686483939</c:v>
                </c:pt>
                <c:pt idx="15">
                  <c:v>488688.95068287221</c:v>
                </c:pt>
                <c:pt idx="16">
                  <c:v>446548.7783999911</c:v>
                </c:pt>
                <c:pt idx="17">
                  <c:v>403039.05051791633</c:v>
                </c:pt>
                <c:pt idx="18">
                  <c:v>358115.25647967414</c:v>
                </c:pt>
                <c:pt idx="19">
                  <c:v>311731.43913518905</c:v>
                </c:pt>
                <c:pt idx="20">
                  <c:v>263840.14772700821</c:v>
                </c:pt>
                <c:pt idx="21">
                  <c:v>214392.38934806152</c:v>
                </c:pt>
                <c:pt idx="22">
                  <c:v>163337.57882179905</c:v>
                </c:pt>
                <c:pt idx="23">
                  <c:v>110623.48695343305</c:v>
                </c:pt>
                <c:pt idx="24">
                  <c:v>56196.187099345159</c:v>
                </c:pt>
                <c:pt idx="25">
                  <c:v>0</c:v>
                </c:pt>
                <c:pt idx="26">
                  <c:v>0</c:v>
                </c:pt>
                <c:pt idx="27">
                  <c:v>0</c:v>
                </c:pt>
                <c:pt idx="28">
                  <c:v>0</c:v>
                </c:pt>
                <c:pt idx="29">
                  <c:v>0</c:v>
                </c:pt>
              </c:numCache>
            </c:numRef>
          </c:val>
          <c:smooth val="0"/>
          <c:extLst>
            <c:ext xmlns:c16="http://schemas.microsoft.com/office/drawing/2014/chart" uri="{C3380CC4-5D6E-409C-BE32-E72D297353CC}">
              <c16:uniqueId val="{00000001-39CC-423C-ACE5-B71310BC49EA}"/>
            </c:ext>
          </c:extLst>
        </c:ser>
        <c:ser>
          <c:idx val="2"/>
          <c:order val="2"/>
          <c:tx>
            <c:strRef>
              <c:f>Kennzahlen!$B$11</c:f>
              <c:strCache>
                <c:ptCount val="1"/>
                <c:pt idx="0">
                  <c:v>Asset-Status (Verkaufswert - Restschuld) </c:v>
                </c:pt>
              </c:strCache>
            </c:strRef>
          </c:tx>
          <c:spPr>
            <a:ln w="28575" cap="rnd">
              <a:solidFill>
                <a:schemeClr val="accent3"/>
              </a:solidFill>
              <a:round/>
            </a:ln>
            <a:effectLst/>
          </c:spPr>
          <c:marker>
            <c:symbol val="none"/>
          </c:marker>
          <c:val>
            <c:numRef>
              <c:f>Kennzahlen!$C$11:$AF$11</c:f>
              <c:numCache>
                <c:formatCode>#,##0</c:formatCode>
                <c:ptCount val="30"/>
                <c:pt idx="0">
                  <c:v>-2000.0000000001164</c:v>
                </c:pt>
                <c:pt idx="1">
                  <c:v>39315.756124721025</c:v>
                </c:pt>
                <c:pt idx="2">
                  <c:v>81672.447798996815</c:v>
                </c:pt>
                <c:pt idx="3">
                  <c:v>125098.87201848952</c:v>
                </c:pt>
                <c:pt idx="4">
                  <c:v>169624.64027640014</c:v>
                </c:pt>
                <c:pt idx="5">
                  <c:v>215280.20172687958</c:v>
                </c:pt>
                <c:pt idx="6">
                  <c:v>260596.86700816033</c:v>
                </c:pt>
                <c:pt idx="7">
                  <c:v>305546.89438727917</c:v>
                </c:pt>
                <c:pt idx="8">
                  <c:v>346075.49087092269</c:v>
                </c:pt>
                <c:pt idx="9">
                  <c:v>387616.36887100618</c:v>
                </c:pt>
                <c:pt idx="10">
                  <c:v>430197.46416484134</c:v>
                </c:pt>
                <c:pt idx="11">
                  <c:v>472778.19363488629</c:v>
                </c:pt>
                <c:pt idx="12">
                  <c:v>516570.57801843062</c:v>
                </c:pt>
                <c:pt idx="13">
                  <c:v>561612.88398081402</c:v>
                </c:pt>
                <c:pt idx="14">
                  <c:v>607944.61378314858</c:v>
                </c:pt>
                <c:pt idx="15">
                  <c:v>655606.54537372547</c:v>
                </c:pt>
                <c:pt idx="16">
                  <c:v>704640.77378181322</c:v>
                </c:pt>
                <c:pt idx="17">
                  <c:v>755090.75385616987</c:v>
                </c:pt>
                <c:pt idx="18">
                  <c:v>807001.34439196915</c:v>
                </c:pt>
                <c:pt idx="19">
                  <c:v>860418.85369125579</c:v>
                </c:pt>
                <c:pt idx="20">
                  <c:v>915391.08660351671</c:v>
                </c:pt>
                <c:pt idx="21">
                  <c:v>971967.39309446327</c:v>
                </c:pt>
                <c:pt idx="22">
                  <c:v>1030198.7183926892</c:v>
                </c:pt>
                <c:pt idx="23">
                  <c:v>1090137.654765476</c:v>
                </c:pt>
                <c:pt idx="24">
                  <c:v>1151838.4949766903</c:v>
                </c:pt>
                <c:pt idx="25">
                  <c:v>1215357.2874814328</c:v>
                </c:pt>
                <c:pt idx="26">
                  <c:v>1222729.3302338072</c:v>
                </c:pt>
                <c:pt idx="27">
                  <c:v>1230151.1857630932</c:v>
                </c:pt>
                <c:pt idx="28">
                  <c:v>1237623.2326588067</c:v>
                </c:pt>
                <c:pt idx="29">
                  <c:v>1245145.8526986679</c:v>
                </c:pt>
              </c:numCache>
            </c:numRef>
          </c:val>
          <c:smooth val="0"/>
          <c:extLst>
            <c:ext xmlns:c16="http://schemas.microsoft.com/office/drawing/2014/chart" uri="{C3380CC4-5D6E-409C-BE32-E72D297353CC}">
              <c16:uniqueId val="{00000002-39CC-423C-ACE5-B71310BC49EA}"/>
            </c:ext>
          </c:extLst>
        </c:ser>
        <c:ser>
          <c:idx val="3"/>
          <c:order val="3"/>
          <c:tx>
            <c:strRef>
              <c:f>Kennzahlen!$B$13</c:f>
              <c:strCache>
                <c:ptCount val="1"/>
                <c:pt idx="0">
                  <c:v>Vermögen aus Tilgung + kumul. Cash Flow </c:v>
                </c:pt>
              </c:strCache>
            </c:strRef>
          </c:tx>
          <c:spPr>
            <a:ln w="28575" cap="rnd">
              <a:solidFill>
                <a:schemeClr val="accent4"/>
              </a:solidFill>
              <a:round/>
            </a:ln>
            <a:effectLst/>
          </c:spPr>
          <c:marker>
            <c:symbol val="none"/>
          </c:marker>
          <c:val>
            <c:numRef>
              <c:f>Kennzahlen!$C$13:$AF$13</c:f>
              <c:numCache>
                <c:formatCode>#,##0</c:formatCode>
                <c:ptCount val="30"/>
                <c:pt idx="0">
                  <c:v>17079.057299706143</c:v>
                </c:pt>
                <c:pt idx="1">
                  <c:v>36617.779864140466</c:v>
                </c:pt>
                <c:pt idx="2">
                  <c:v>57119.788328916511</c:v>
                </c:pt>
                <c:pt idx="3">
                  <c:v>78610.019365204033</c:v>
                </c:pt>
                <c:pt idx="4">
                  <c:v>101114.08887708874</c:v>
                </c:pt>
                <c:pt idx="5">
                  <c:v>121658.31096643271</c:v>
                </c:pt>
                <c:pt idx="6">
                  <c:v>143202.17243331752</c:v>
                </c:pt>
                <c:pt idx="7">
                  <c:v>165703.19880305976</c:v>
                </c:pt>
                <c:pt idx="8">
                  <c:v>174779.95724852855</c:v>
                </c:pt>
                <c:pt idx="9">
                  <c:v>184606.21863018619</c:v>
                </c:pt>
                <c:pt idx="10">
                  <c:v>193622.28194142284</c:v>
                </c:pt>
                <c:pt idx="11">
                  <c:v>203491.21617834616</c:v>
                </c:pt>
                <c:pt idx="12">
                  <c:v>214237.22125144259</c:v>
                </c:pt>
                <c:pt idx="13">
                  <c:v>225885.23958835687</c:v>
                </c:pt>
                <c:pt idx="14">
                  <c:v>238460.97971595053</c:v>
                </c:pt>
                <c:pt idx="15">
                  <c:v>251990.94060190546</c:v>
                </c:pt>
                <c:pt idx="16">
                  <c:v>266502.43678047176</c:v>
                </c:pt>
                <c:pt idx="17">
                  <c:v>282023.62428775779</c:v>
                </c:pt>
                <c:pt idx="18">
                  <c:v>298583.52743278403</c:v>
                </c:pt>
                <c:pt idx="19">
                  <c:v>316212.0664313747</c:v>
                </c:pt>
                <c:pt idx="20">
                  <c:v>334940.08593083813</c:v>
                </c:pt>
                <c:pt idx="21">
                  <c:v>354799.3844542962</c:v>
                </c:pt>
                <c:pt idx="22">
                  <c:v>375822.74479445769</c:v>
                </c:pt>
                <c:pt idx="23">
                  <c:v>398043.96538759978</c:v>
                </c:pt>
                <c:pt idx="24">
                  <c:v>421497.89269951911</c:v>
                </c:pt>
                <c:pt idx="25">
                  <c:v>446220.45465624536</c:v>
                </c:pt>
                <c:pt idx="26">
                  <c:v>471154.96983743069</c:v>
                </c:pt>
                <c:pt idx="27">
                  <c:v>496304.0876583808</c:v>
                </c:pt>
                <c:pt idx="28">
                  <c:v>521670.49065209279</c:v>
                </c:pt>
                <c:pt idx="29">
                  <c:v>547256.89488322625</c:v>
                </c:pt>
              </c:numCache>
            </c:numRef>
          </c:val>
          <c:smooth val="0"/>
          <c:extLst>
            <c:ext xmlns:c16="http://schemas.microsoft.com/office/drawing/2014/chart" uri="{C3380CC4-5D6E-409C-BE32-E72D297353CC}">
              <c16:uniqueId val="{00000001-B16E-4F70-81CB-C4EE2DCBB079}"/>
            </c:ext>
          </c:extLst>
        </c:ser>
        <c:dLbls>
          <c:showLegendKey val="0"/>
          <c:showVal val="0"/>
          <c:showCatName val="0"/>
          <c:showSerName val="0"/>
          <c:showPercent val="0"/>
          <c:showBubbleSize val="0"/>
        </c:dLbls>
        <c:smooth val="0"/>
        <c:axId val="601127536"/>
        <c:axId val="601124624"/>
      </c:lineChart>
      <c:catAx>
        <c:axId val="60112753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01124624"/>
        <c:crosses val="autoZero"/>
        <c:auto val="1"/>
        <c:lblAlgn val="ctr"/>
        <c:lblOffset val="100"/>
        <c:noMultiLvlLbl val="0"/>
      </c:catAx>
      <c:valAx>
        <c:axId val="6011246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01127536"/>
        <c:crosses val="autoZero"/>
        <c:crossBetween val="between"/>
        <c:majorUnit val="50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1" u="none" strike="noStrike" kern="1200" spc="0" baseline="0">
                <a:solidFill>
                  <a:schemeClr val="tx1">
                    <a:lumMod val="65000"/>
                    <a:lumOff val="35000"/>
                  </a:schemeClr>
                </a:solidFill>
                <a:latin typeface="+mn-lt"/>
                <a:ea typeface="+mn-ea"/>
                <a:cs typeface="+mn-cs"/>
              </a:defRPr>
            </a:pPr>
            <a:r>
              <a:rPr lang="de-DE" sz="2400" b="1" i="1" baseline="0"/>
              <a:t>Entwicklung Liquider Mittel  - Cash Flow</a:t>
            </a:r>
          </a:p>
        </c:rich>
      </c:tx>
      <c:layout>
        <c:manualLayout>
          <c:xMode val="edge"/>
          <c:yMode val="edge"/>
          <c:x val="0.33112746862249631"/>
          <c:y val="3.2265059481137795E-2"/>
        </c:manualLayout>
      </c:layout>
      <c:overlay val="0"/>
      <c:spPr>
        <a:noFill/>
        <a:ln>
          <a:noFill/>
        </a:ln>
        <a:effectLst/>
      </c:spPr>
      <c:txPr>
        <a:bodyPr rot="0" spcFirstLastPara="1" vertOverflow="ellipsis" vert="horz" wrap="square" anchor="ctr" anchorCtr="1"/>
        <a:lstStyle/>
        <a:p>
          <a:pPr>
            <a:defRPr sz="2400" b="1" i="1"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8.1357845290797884E-2"/>
          <c:y val="0.10530948324815446"/>
          <c:w val="0.90433600306399464"/>
          <c:h val="0.79850903432641618"/>
        </c:manualLayout>
      </c:layout>
      <c:lineChart>
        <c:grouping val="standard"/>
        <c:varyColors val="0"/>
        <c:ser>
          <c:idx val="0"/>
          <c:order val="0"/>
          <c:tx>
            <c:strRef>
              <c:f>Kennzahlen!$B$16</c:f>
              <c:strCache>
                <c:ptCount val="1"/>
                <c:pt idx="0">
                  <c:v>Einnahmen - Ausgaben p.a. nach Steuer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Kennzahlen!$C$16:$AF$16</c:f>
              <c:numCache>
                <c:formatCode>#,##0\ [$€-407]</c:formatCode>
                <c:ptCount val="30"/>
                <c:pt idx="0">
                  <c:v>9926.2380265029497</c:v>
                </c:pt>
                <c:pt idx="1">
                  <c:v>12182.047941944835</c:v>
                </c:pt>
                <c:pt idx="2">
                  <c:v>12935.668615545617</c:v>
                </c:pt>
                <c:pt idx="3">
                  <c:v>13708.250501354018</c:v>
                </c:pt>
                <c:pt idx="4">
                  <c:v>14500.302531705584</c:v>
                </c:pt>
                <c:pt idx="5">
                  <c:v>13812.347750229765</c:v>
                </c:pt>
                <c:pt idx="6">
                  <c:v>14620.128709105829</c:v>
                </c:pt>
                <c:pt idx="7">
                  <c:v>15423.207096539061</c:v>
                </c:pt>
                <c:pt idx="8">
                  <c:v>9076.7584454687876</c:v>
                </c:pt>
                <c:pt idx="9">
                  <c:v>9826.2613816576522</c:v>
                </c:pt>
                <c:pt idx="10">
                  <c:v>9016.0633112366431</c:v>
                </c:pt>
                <c:pt idx="11">
                  <c:v>9868.9342369233345</c:v>
                </c:pt>
                <c:pt idx="12">
                  <c:v>10746.005073096432</c:v>
                </c:pt>
                <c:pt idx="13">
                  <c:v>11648.018336914265</c:v>
                </c:pt>
                <c:pt idx="14">
                  <c:v>12575.740127593652</c:v>
                </c:pt>
                <c:pt idx="15">
                  <c:v>13529.96088595493</c:v>
                </c:pt>
                <c:pt idx="16">
                  <c:v>14511.496178566329</c:v>
                </c:pt>
                <c:pt idx="17">
                  <c:v>15521.187507286013</c:v>
                </c:pt>
                <c:pt idx="18">
                  <c:v>16559.903145026237</c:v>
                </c:pt>
                <c:pt idx="19">
                  <c:v>17628.538998590629</c:v>
                </c:pt>
                <c:pt idx="20">
                  <c:v>18728.019499463451</c:v>
                </c:pt>
                <c:pt idx="21">
                  <c:v>19859.298523458063</c:v>
                </c:pt>
                <c:pt idx="22">
                  <c:v>21023.360340161475</c:v>
                </c:pt>
                <c:pt idx="23">
                  <c:v>22221.220593142079</c:v>
                </c:pt>
                <c:pt idx="24">
                  <c:v>23453.927311919309</c:v>
                </c:pt>
                <c:pt idx="25">
                  <c:v>24722.56195672624</c:v>
                </c:pt>
                <c:pt idx="26">
                  <c:v>24934.515181185317</c:v>
                </c:pt>
                <c:pt idx="27">
                  <c:v>25149.117820950134</c:v>
                </c:pt>
                <c:pt idx="28">
                  <c:v>25366.402993712014</c:v>
                </c:pt>
                <c:pt idx="29">
                  <c:v>25586.404231133416</c:v>
                </c:pt>
              </c:numCache>
            </c:numRef>
          </c:val>
          <c:smooth val="0"/>
          <c:extLst>
            <c:ext xmlns:c16="http://schemas.microsoft.com/office/drawing/2014/chart" uri="{C3380CC4-5D6E-409C-BE32-E72D297353CC}">
              <c16:uniqueId val="{00000000-A31E-49E4-9420-06DA561F8B8D}"/>
            </c:ext>
          </c:extLst>
        </c:ser>
        <c:ser>
          <c:idx val="2"/>
          <c:order val="1"/>
          <c:tx>
            <c:strRef>
              <c:f>Kennzahlen!$B$18</c:f>
              <c:strCache>
                <c:ptCount val="1"/>
                <c:pt idx="0">
                  <c:v>Mittel-Überschuss bei hypoth. Verkauf</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Kennzahlen!$C$18:$AF$18</c:f>
              <c:numCache>
                <c:formatCode>#,##0\ [$€-407]</c:formatCode>
                <c:ptCount val="30"/>
                <c:pt idx="0">
                  <c:v>-84920.942700294079</c:v>
                </c:pt>
                <c:pt idx="1">
                  <c:v>-59141.220135859679</c:v>
                </c:pt>
                <c:pt idx="2">
                  <c:v>-32356.906671083765</c:v>
                </c:pt>
                <c:pt idx="3">
                  <c:v>-4542.7581097963266</c:v>
                </c:pt>
                <c:pt idx="4">
                  <c:v>24327.151524713263</c:v>
                </c:pt>
                <c:pt idx="5">
                  <c:v>51279.448977395194</c:v>
                </c:pt>
                <c:pt idx="6">
                  <c:v>79273.936284935568</c:v>
                </c:pt>
                <c:pt idx="7">
                  <c:v>108268.45682604285</c:v>
                </c:pt>
                <c:pt idx="8">
                  <c:v>123881.89826725447</c:v>
                </c:pt>
                <c:pt idx="9">
                  <c:v>140288.35462669004</c:v>
                </c:pt>
                <c:pt idx="10">
                  <c:v>155928.4507433204</c:v>
                </c:pt>
                <c:pt idx="11">
                  <c:v>172465.58417091845</c:v>
                </c:pt>
                <c:pt idx="12">
                  <c:v>189924.28611410945</c:v>
                </c:pt>
                <c:pt idx="13">
                  <c:v>208329.83305577026</c:v>
                </c:pt>
                <c:pt idx="14">
                  <c:v>227708.27036393853</c:v>
                </c:pt>
                <c:pt idx="15">
                  <c:v>248086.43665850302</c:v>
                </c:pt>
                <c:pt idx="16">
                  <c:v>269491.98896227614</c:v>
                </c:pt>
                <c:pt idx="17">
                  <c:v>291953.42866184399</c:v>
                </c:pt>
                <c:pt idx="18">
                  <c:v>315500.12830442726</c:v>
                </c:pt>
                <c:pt idx="19">
                  <c:v>340162.3592578196</c:v>
                </c:pt>
                <c:pt idx="20">
                  <c:v>365971.32026136294</c:v>
                </c:pt>
                <c:pt idx="21">
                  <c:v>392959.166896821</c:v>
                </c:pt>
                <c:pt idx="22">
                  <c:v>421159.04200894595</c:v>
                </c:pt>
                <c:pt idx="23">
                  <c:v>450605.10710650892</c:v>
                </c:pt>
                <c:pt idx="24">
                  <c:v>481332.57477555471</c:v>
                </c:pt>
                <c:pt idx="25">
                  <c:v>513377.7421376782</c:v>
                </c:pt>
                <c:pt idx="26">
                  <c:v>545684.30007123784</c:v>
                </c:pt>
                <c:pt idx="27">
                  <c:v>578255.27342147403</c:v>
                </c:pt>
                <c:pt idx="28">
                  <c:v>611093.72331089946</c:v>
                </c:pt>
                <c:pt idx="29">
                  <c:v>644202.74758189404</c:v>
                </c:pt>
              </c:numCache>
            </c:numRef>
          </c:val>
          <c:smooth val="0"/>
          <c:extLst>
            <c:ext xmlns:c16="http://schemas.microsoft.com/office/drawing/2014/chart" uri="{C3380CC4-5D6E-409C-BE32-E72D297353CC}">
              <c16:uniqueId val="{00000001-A31E-49E4-9420-06DA561F8B8D}"/>
            </c:ext>
          </c:extLst>
        </c:ser>
        <c:ser>
          <c:idx val="1"/>
          <c:order val="2"/>
          <c:tx>
            <c:v>Kumul. Ein- + Ausgaben</c:v>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Kennzahlen!$C$17:$AF$17</c:f>
              <c:numCache>
                <c:formatCode>#,##0\ [$€-407]</c:formatCode>
                <c:ptCount val="30"/>
                <c:pt idx="0">
                  <c:v>9926.2380265029497</c:v>
                </c:pt>
                <c:pt idx="1">
                  <c:v>22108.285968447784</c:v>
                </c:pt>
                <c:pt idx="2">
                  <c:v>35043.9545839934</c:v>
                </c:pt>
                <c:pt idx="3">
                  <c:v>48752.205085347421</c:v>
                </c:pt>
                <c:pt idx="4">
                  <c:v>63252.507617053008</c:v>
                </c:pt>
                <c:pt idx="5">
                  <c:v>77064.855367282769</c:v>
                </c:pt>
                <c:pt idx="6">
                  <c:v>91684.984076388602</c:v>
                </c:pt>
                <c:pt idx="7">
                  <c:v>107108.19117292766</c:v>
                </c:pt>
                <c:pt idx="8">
                  <c:v>116184.94961839645</c:v>
                </c:pt>
                <c:pt idx="9">
                  <c:v>126011.2110000541</c:v>
                </c:pt>
                <c:pt idx="10">
                  <c:v>135027.27431129073</c:v>
                </c:pt>
                <c:pt idx="11">
                  <c:v>144896.20854821405</c:v>
                </c:pt>
                <c:pt idx="12">
                  <c:v>155642.21362131048</c:v>
                </c:pt>
                <c:pt idx="13">
                  <c:v>167290.23195822476</c:v>
                </c:pt>
                <c:pt idx="14">
                  <c:v>179865.97208581842</c:v>
                </c:pt>
                <c:pt idx="15">
                  <c:v>193395.93297177335</c:v>
                </c:pt>
                <c:pt idx="16">
                  <c:v>207907.42915033968</c:v>
                </c:pt>
                <c:pt idx="17">
                  <c:v>223428.61665762571</c:v>
                </c:pt>
                <c:pt idx="18">
                  <c:v>239988.51980265195</c:v>
                </c:pt>
                <c:pt idx="19">
                  <c:v>257617.05880124259</c:v>
                </c:pt>
                <c:pt idx="20">
                  <c:v>276345.07830070605</c:v>
                </c:pt>
                <c:pt idx="21">
                  <c:v>296204.37682416412</c:v>
                </c:pt>
                <c:pt idx="22">
                  <c:v>317227.7371643256</c:v>
                </c:pt>
                <c:pt idx="23">
                  <c:v>339448.9577574677</c:v>
                </c:pt>
                <c:pt idx="24">
                  <c:v>362902.88506938703</c:v>
                </c:pt>
                <c:pt idx="25">
                  <c:v>387625.44702611328</c:v>
                </c:pt>
                <c:pt idx="26">
                  <c:v>412559.96220729861</c:v>
                </c:pt>
                <c:pt idx="27">
                  <c:v>437709.08002824872</c:v>
                </c:pt>
                <c:pt idx="28">
                  <c:v>463075.48302196071</c:v>
                </c:pt>
                <c:pt idx="29">
                  <c:v>488661.88725309412</c:v>
                </c:pt>
              </c:numCache>
            </c:numRef>
          </c:val>
          <c:smooth val="0"/>
          <c:extLst>
            <c:ext xmlns:c16="http://schemas.microsoft.com/office/drawing/2014/chart" uri="{C3380CC4-5D6E-409C-BE32-E72D297353CC}">
              <c16:uniqueId val="{00000002-A31E-49E4-9420-06DA561F8B8D}"/>
            </c:ext>
          </c:extLst>
        </c:ser>
        <c:dLbls>
          <c:showLegendKey val="0"/>
          <c:showVal val="0"/>
          <c:showCatName val="0"/>
          <c:showSerName val="0"/>
          <c:showPercent val="0"/>
          <c:showBubbleSize val="0"/>
        </c:dLbls>
        <c:marker val="1"/>
        <c:smooth val="0"/>
        <c:axId val="190937696"/>
        <c:axId val="190933952"/>
      </c:lineChart>
      <c:dateAx>
        <c:axId val="190937696"/>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90933952"/>
        <c:crossesAt val="0"/>
        <c:auto val="0"/>
        <c:lblOffset val="1000"/>
        <c:baseTimeUnit val="days"/>
      </c:dateAx>
      <c:valAx>
        <c:axId val="190933952"/>
        <c:scaling>
          <c:orientation val="minMax"/>
        </c:scaling>
        <c:delete val="0"/>
        <c:axPos val="l"/>
        <c:majorGridlines>
          <c:spPr>
            <a:ln w="9525" cap="flat" cmpd="sng" algn="ctr">
              <a:solidFill>
                <a:schemeClr val="tx1">
                  <a:lumMod val="15000"/>
                  <a:lumOff val="85000"/>
                </a:schemeClr>
              </a:solidFill>
              <a:round/>
            </a:ln>
            <a:effectLst/>
          </c:spPr>
        </c:majorGridlines>
        <c:numFmt formatCode="#,##0\ [$€-407]"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90937696"/>
        <c:crosses val="autoZero"/>
        <c:crossBetween val="midCat"/>
        <c:majorUnit val="50000"/>
      </c:valAx>
      <c:spPr>
        <a:noFill/>
        <a:ln>
          <a:noFill/>
        </a:ln>
        <a:effectLst/>
      </c:spPr>
    </c:plotArea>
    <c:legend>
      <c:legendPos val="b"/>
      <c:layout>
        <c:manualLayout>
          <c:xMode val="edge"/>
          <c:yMode val="edge"/>
          <c:x val="0.1054022275488965"/>
          <c:y val="0.87716799577369131"/>
          <c:w val="0.86835080112652663"/>
          <c:h val="9.5219856269915762E-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Darlehnshöhe im Zeitverlauf</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de-DE"/>
        </a:p>
      </c:txPr>
    </c:title>
    <c:autoTitleDeleted val="0"/>
    <c:plotArea>
      <c:layout>
        <c:manualLayout>
          <c:layoutTarget val="inner"/>
          <c:xMode val="edge"/>
          <c:yMode val="edge"/>
          <c:x val="0.16722781409399295"/>
          <c:y val="0.12974964667878053"/>
          <c:w val="0.76683300888126993"/>
          <c:h val="0.77331594739915821"/>
        </c:manualLayout>
      </c:layout>
      <c:areaChart>
        <c:grouping val="standard"/>
        <c:varyColors val="0"/>
        <c:ser>
          <c:idx val="0"/>
          <c:order val="0"/>
          <c:tx>
            <c:strRef>
              <c:f>Kennzahlen!$B$10</c:f>
              <c:strCache>
                <c:ptCount val="1"/>
                <c:pt idx="0">
                  <c:v>Restschulden insgesamt am Jahresanfang</c:v>
                </c:pt>
              </c:strCache>
            </c:strRef>
          </c:tx>
          <c:spPr>
            <a:solidFill>
              <a:schemeClr val="accent2">
                <a:lumMod val="60000"/>
                <a:lumOff val="40000"/>
              </a:schemeClr>
            </a:solidFill>
            <a:ln>
              <a:solidFill>
                <a:sysClr val="windowText" lastClr="000000"/>
              </a:solidFill>
            </a:ln>
            <a:effectLst>
              <a:innerShdw dist="12700" dir="16200000">
                <a:schemeClr val="lt1"/>
              </a:innerShdw>
            </a:effectLst>
          </c:spPr>
          <c:val>
            <c:numRef>
              <c:f>Kennzahlen!$C$10:$AF$10</c:f>
              <c:numCache>
                <c:formatCode>#,##0</c:formatCode>
                <c:ptCount val="30"/>
                <c:pt idx="0">
                  <c:v>1048200</c:v>
                </c:pt>
                <c:pt idx="1">
                  <c:v>1013125.2438752787</c:v>
                </c:pt>
                <c:pt idx="2">
                  <c:v>977050.85720100289</c:v>
                </c:pt>
                <c:pt idx="3">
                  <c:v>939948.35050651012</c:v>
                </c:pt>
                <c:pt idx="4">
                  <c:v>901788.42237122427</c:v>
                </c:pt>
                <c:pt idx="5">
                  <c:v>862540.93628408283</c:v>
                </c:pt>
                <c:pt idx="6">
                  <c:v>823674.89684345783</c:v>
                </c:pt>
                <c:pt idx="7">
                  <c:v>785218.36363570392</c:v>
                </c:pt>
                <c:pt idx="8">
                  <c:v>751226.45014780329</c:v>
                </c:pt>
                <c:pt idx="9">
                  <c:v>716265.76712549757</c:v>
                </c:pt>
                <c:pt idx="10">
                  <c:v>680308.7046370561</c:v>
                </c:pt>
                <c:pt idx="11">
                  <c:v>644396.17435768596</c:v>
                </c:pt>
                <c:pt idx="12">
                  <c:v>607316.48684423626</c:v>
                </c:pt>
                <c:pt idx="13">
                  <c:v>569031.70948659943</c:v>
                </c:pt>
                <c:pt idx="14">
                  <c:v>529502.67686483939</c:v>
                </c:pt>
                <c:pt idx="15">
                  <c:v>488688.95068287221</c:v>
                </c:pt>
                <c:pt idx="16">
                  <c:v>446548.7783999911</c:v>
                </c:pt>
                <c:pt idx="17">
                  <c:v>403039.05051791633</c:v>
                </c:pt>
                <c:pt idx="18">
                  <c:v>358115.25647967414</c:v>
                </c:pt>
                <c:pt idx="19">
                  <c:v>311731.43913518905</c:v>
                </c:pt>
                <c:pt idx="20">
                  <c:v>263840.14772700821</c:v>
                </c:pt>
                <c:pt idx="21">
                  <c:v>214392.38934806152</c:v>
                </c:pt>
                <c:pt idx="22">
                  <c:v>163337.57882179905</c:v>
                </c:pt>
                <c:pt idx="23">
                  <c:v>110623.48695343305</c:v>
                </c:pt>
                <c:pt idx="24">
                  <c:v>56196.187099345159</c:v>
                </c:pt>
                <c:pt idx="25">
                  <c:v>0</c:v>
                </c:pt>
                <c:pt idx="26">
                  <c:v>0</c:v>
                </c:pt>
                <c:pt idx="27">
                  <c:v>0</c:v>
                </c:pt>
                <c:pt idx="28">
                  <c:v>0</c:v>
                </c:pt>
                <c:pt idx="29">
                  <c:v>0</c:v>
                </c:pt>
              </c:numCache>
            </c:numRef>
          </c:val>
          <c:extLst>
            <c:ext xmlns:c16="http://schemas.microsoft.com/office/drawing/2014/chart" uri="{C3380CC4-5D6E-409C-BE32-E72D297353CC}">
              <c16:uniqueId val="{00000000-11B5-4150-B2FD-5BE98CCAD4D8}"/>
            </c:ext>
          </c:extLst>
        </c:ser>
        <c:dLbls>
          <c:showLegendKey val="0"/>
          <c:showVal val="0"/>
          <c:showCatName val="0"/>
          <c:showSerName val="0"/>
          <c:showPercent val="0"/>
          <c:showBubbleSize val="0"/>
        </c:dLbls>
        <c:axId val="106542976"/>
        <c:axId val="106544512"/>
      </c:areaChart>
      <c:dateAx>
        <c:axId val="10654297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de-DE"/>
                  <a:t>Jahr</a:t>
                </a:r>
              </a:p>
            </c:rich>
          </c:tx>
          <c:layout>
            <c:manualLayout>
              <c:xMode val="edge"/>
              <c:yMode val="edge"/>
              <c:x val="0.93356536954619807"/>
              <c:y val="0.9486227355321843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de-DE"/>
            </a:p>
          </c:txPr>
        </c:title>
        <c:numFmt formatCode="#,##0" sourceLinked="0"/>
        <c:majorTickMark val="out"/>
        <c:minorTickMark val="in"/>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effectLst>
                  <a:outerShdw blurRad="50800" dist="50800" dir="5400000" algn="ctr" rotWithShape="0">
                    <a:schemeClr val="tx1"/>
                  </a:outerShdw>
                </a:effectLst>
                <a:latin typeface="+mn-lt"/>
                <a:ea typeface="+mn-ea"/>
                <a:cs typeface="+mn-cs"/>
              </a:defRPr>
            </a:pPr>
            <a:endParaRPr lang="de-DE"/>
          </a:p>
        </c:txPr>
        <c:crossAx val="106544512"/>
        <c:crosses val="autoZero"/>
        <c:auto val="0"/>
        <c:lblOffset val="100"/>
        <c:baseTimeUnit val="days"/>
        <c:majorUnit val="1"/>
      </c:dateAx>
      <c:valAx>
        <c:axId val="10654451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Restschuld in Euro</a:t>
                </a:r>
              </a:p>
            </c:rich>
          </c:tx>
          <c:layout>
            <c:manualLayout>
              <c:xMode val="edge"/>
              <c:yMode val="edge"/>
              <c:x val="3.2163801082835661E-2"/>
              <c:y val="0.47845704164601799"/>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de-DE"/>
            </a:p>
          </c:txPr>
        </c:title>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de-DE"/>
          </a:p>
        </c:txPr>
        <c:crossAx val="106542976"/>
        <c:crosses val="autoZero"/>
        <c:crossBetween val="midCat"/>
      </c:valAx>
      <c:spPr>
        <a:noFill/>
        <a:ln>
          <a:noFill/>
        </a:ln>
        <a:effectLst/>
      </c:spPr>
    </c:plotArea>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de-DE"/>
    </a:p>
  </c:txPr>
  <c:printSettings>
    <c:headerFooter/>
    <c:pageMargins b="0.75000000000000167" l="0.70000000000000062" r="0.70000000000000062" t="0.75000000000000167"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jpg"/></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158750</xdr:colOff>
      <xdr:row>102</xdr:row>
      <xdr:rowOff>106680</xdr:rowOff>
    </xdr:from>
    <xdr:to>
      <xdr:col>2</xdr:col>
      <xdr:colOff>572770</xdr:colOff>
      <xdr:row>108</xdr:row>
      <xdr:rowOff>31750</xdr:rowOff>
    </xdr:to>
    <xdr:pic>
      <xdr:nvPicPr>
        <xdr:cNvPr id="2" name="Grafik 1">
          <a:extLst>
            <a:ext uri="{FF2B5EF4-FFF2-40B4-BE49-F238E27FC236}">
              <a16:creationId xmlns:a16="http://schemas.microsoft.com/office/drawing/2014/main" id="{DAF72191-DFB3-BD99-860E-A64DCF9E92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8750" y="25144730"/>
          <a:ext cx="3970020" cy="9918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501650</xdr:colOff>
      <xdr:row>102</xdr:row>
      <xdr:rowOff>12700</xdr:rowOff>
    </xdr:from>
    <xdr:to>
      <xdr:col>5</xdr:col>
      <xdr:colOff>387350</xdr:colOff>
      <xdr:row>108</xdr:row>
      <xdr:rowOff>143510</xdr:rowOff>
    </xdr:to>
    <xdr:pic>
      <xdr:nvPicPr>
        <xdr:cNvPr id="3" name="Grafik 1">
          <a:extLst>
            <a:ext uri="{FF2B5EF4-FFF2-40B4-BE49-F238E27FC236}">
              <a16:creationId xmlns:a16="http://schemas.microsoft.com/office/drawing/2014/main" id="{9ED2CA20-F942-2226-5E9E-2D37DF580B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07050" y="25050750"/>
          <a:ext cx="660400" cy="11976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104</xdr:row>
      <xdr:rowOff>0</xdr:rowOff>
    </xdr:from>
    <xdr:to>
      <xdr:col>1</xdr:col>
      <xdr:colOff>233744</xdr:colOff>
      <xdr:row>162</xdr:row>
      <xdr:rowOff>14727</xdr:rowOff>
    </xdr:to>
    <xdr:pic>
      <xdr:nvPicPr>
        <xdr:cNvPr id="2" name="Grafik 1">
          <a:extLst>
            <a:ext uri="{FF2B5EF4-FFF2-40B4-BE49-F238E27FC236}">
              <a16:creationId xmlns:a16="http://schemas.microsoft.com/office/drawing/2014/main" id="{1516BD88-15E9-FD85-45E0-CE91F2570550}"/>
            </a:ext>
          </a:extLst>
        </xdr:cNvPr>
        <xdr:cNvPicPr>
          <a:picLocks noChangeAspect="1"/>
        </xdr:cNvPicPr>
      </xdr:nvPicPr>
      <xdr:blipFill>
        <a:blip xmlns:r="http://schemas.openxmlformats.org/officeDocument/2006/relationships" r:embed="rId1"/>
        <a:stretch>
          <a:fillRect/>
        </a:stretch>
      </xdr:blipFill>
      <xdr:spPr>
        <a:xfrm>
          <a:off x="0" y="20241491"/>
          <a:ext cx="3406435" cy="1005927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0</xdr:colOff>
      <xdr:row>3</xdr:row>
      <xdr:rowOff>0</xdr:rowOff>
    </xdr:from>
    <xdr:to>
      <xdr:col>17</xdr:col>
      <xdr:colOff>643889</xdr:colOff>
      <xdr:row>7</xdr:row>
      <xdr:rowOff>231214</xdr:rowOff>
    </xdr:to>
    <xdr:pic>
      <xdr:nvPicPr>
        <xdr:cNvPr id="4" name="Grafik 3">
          <a:extLst>
            <a:ext uri="{FF2B5EF4-FFF2-40B4-BE49-F238E27FC236}">
              <a16:creationId xmlns:a16="http://schemas.microsoft.com/office/drawing/2014/main" id="{BABC5EEE-B80B-125D-83ED-8182A9FAA71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493000" y="800100"/>
          <a:ext cx="7772400" cy="1304364"/>
        </a:xfrm>
        <a:prstGeom prst="rect">
          <a:avLst/>
        </a:prstGeom>
      </xdr:spPr>
    </xdr:pic>
    <xdr:clientData/>
  </xdr:twoCellAnchor>
  <xdr:twoCellAnchor>
    <xdr:from>
      <xdr:col>0</xdr:col>
      <xdr:colOff>394853</xdr:colOff>
      <xdr:row>127</xdr:row>
      <xdr:rowOff>27708</xdr:rowOff>
    </xdr:from>
    <xdr:to>
      <xdr:col>6</xdr:col>
      <xdr:colOff>245224</xdr:colOff>
      <xdr:row>147</xdr:row>
      <xdr:rowOff>48490</xdr:rowOff>
    </xdr:to>
    <xdr:pic>
      <xdr:nvPicPr>
        <xdr:cNvPr id="2" name="Grafik 1">
          <a:extLst>
            <a:ext uri="{FF2B5EF4-FFF2-40B4-BE49-F238E27FC236}">
              <a16:creationId xmlns:a16="http://schemas.microsoft.com/office/drawing/2014/main" id="{A3C83023-B5A1-02F7-B056-3B4FFCE533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4853" y="28796672"/>
          <a:ext cx="5752407" cy="33458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94</xdr:row>
      <xdr:rowOff>90055</xdr:rowOff>
    </xdr:from>
    <xdr:to>
      <xdr:col>5</xdr:col>
      <xdr:colOff>640080</xdr:colOff>
      <xdr:row>114</xdr:row>
      <xdr:rowOff>32557</xdr:rowOff>
    </xdr:to>
    <xdr:pic>
      <xdr:nvPicPr>
        <xdr:cNvPr id="3" name="Grafik 1">
          <a:extLst>
            <a:ext uri="{FF2B5EF4-FFF2-40B4-BE49-F238E27FC236}">
              <a16:creationId xmlns:a16="http://schemas.microsoft.com/office/drawing/2014/main" id="{7909DF8B-676F-D7E4-A74E-3B38723AF7E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23670491"/>
          <a:ext cx="5752407" cy="39603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7</xdr:row>
      <xdr:rowOff>0</xdr:rowOff>
    </xdr:from>
    <xdr:to>
      <xdr:col>8</xdr:col>
      <xdr:colOff>762000</xdr:colOff>
      <xdr:row>33</xdr:row>
      <xdr:rowOff>0</xdr:rowOff>
    </xdr:to>
    <xdr:graphicFrame macro="">
      <xdr:nvGraphicFramePr>
        <xdr:cNvPr id="6" name="Chart 7">
          <a:extLst>
            <a:ext uri="{FF2B5EF4-FFF2-40B4-BE49-F238E27FC236}">
              <a16:creationId xmlns:a16="http://schemas.microsoft.com/office/drawing/2014/main"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7</xdr:row>
      <xdr:rowOff>0</xdr:rowOff>
    </xdr:from>
    <xdr:to>
      <xdr:col>18</xdr:col>
      <xdr:colOff>502920</xdr:colOff>
      <xdr:row>33</xdr:row>
      <xdr:rowOff>0</xdr:rowOff>
    </xdr:to>
    <xdr:graphicFrame macro="">
      <xdr:nvGraphicFramePr>
        <xdr:cNvPr id="8" name="Chart 7">
          <a:extLst>
            <a:ext uri="{FF2B5EF4-FFF2-40B4-BE49-F238E27FC236}">
              <a16:creationId xmlns:a16="http://schemas.microsoft.com/office/drawing/2014/main" id="{00000000-0008-0000-04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53</xdr:row>
      <xdr:rowOff>0</xdr:rowOff>
    </xdr:from>
    <xdr:to>
      <xdr:col>12</xdr:col>
      <xdr:colOff>121920</xdr:colOff>
      <xdr:row>94</xdr:row>
      <xdr:rowOff>152400</xdr:rowOff>
    </xdr:to>
    <xdr:graphicFrame macro="">
      <xdr:nvGraphicFramePr>
        <xdr:cNvPr id="9" name="Diagramm 8">
          <a:extLst>
            <a:ext uri="{FF2B5EF4-FFF2-40B4-BE49-F238E27FC236}">
              <a16:creationId xmlns:a16="http://schemas.microsoft.com/office/drawing/2014/main" id="{00000000-0008-0000-04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143933</xdr:colOff>
      <xdr:row>98</xdr:row>
      <xdr:rowOff>25400</xdr:rowOff>
    </xdr:from>
    <xdr:to>
      <xdr:col>12</xdr:col>
      <xdr:colOff>303953</xdr:colOff>
      <xdr:row>144</xdr:row>
      <xdr:rowOff>143933</xdr:rowOff>
    </xdr:to>
    <xdr:graphicFrame macro="">
      <xdr:nvGraphicFramePr>
        <xdr:cNvPr id="10" name="Diagramm 9">
          <a:extLst>
            <a:ext uri="{FF2B5EF4-FFF2-40B4-BE49-F238E27FC236}">
              <a16:creationId xmlns:a16="http://schemas.microsoft.com/office/drawing/2014/main" id="{00000000-0008-0000-04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194735</xdr:colOff>
      <xdr:row>61</xdr:row>
      <xdr:rowOff>101600</xdr:rowOff>
    </xdr:from>
    <xdr:to>
      <xdr:col>21</xdr:col>
      <xdr:colOff>113455</xdr:colOff>
      <xdr:row>89</xdr:row>
      <xdr:rowOff>61807</xdr:rowOff>
    </xdr:to>
    <xdr:graphicFrame macro="">
      <xdr:nvGraphicFramePr>
        <xdr:cNvPr id="11" name="Chart 7">
          <a:extLst>
            <a:ext uri="{FF2B5EF4-FFF2-40B4-BE49-F238E27FC236}">
              <a16:creationId xmlns:a16="http://schemas.microsoft.com/office/drawing/2014/main" id="{00000000-0008-0000-04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bmwsb.bund.de/SharedDocs/kurzmeldungen/Webs/BMWSB/DE/2024/03/degressive-afa.html" TargetMode="External"/><Relationship Id="rId13" Type="http://schemas.openxmlformats.org/officeDocument/2006/relationships/hyperlink" Target="https://index.fmh.de/fmh-index/ueberblick/" TargetMode="External"/><Relationship Id="rId18" Type="http://schemas.openxmlformats.org/officeDocument/2006/relationships/hyperlink" Target="https://ivd.net/bundesverband/steuerliche-vorteile-im-wohnungsbau-degressive-afa-sonderabschreibung" TargetMode="External"/><Relationship Id="rId3" Type="http://schemas.openxmlformats.org/officeDocument/2006/relationships/hyperlink" Target="https://www.opportunityfinder.de/index.php/2017/11/26/immobilien-rendite-berechnen-excel-kostenlos/" TargetMode="External"/><Relationship Id="rId21" Type="http://schemas.openxmlformats.org/officeDocument/2006/relationships/drawing" Target="../drawings/drawing1.xml"/><Relationship Id="rId7" Type="http://schemas.openxmlformats.org/officeDocument/2006/relationships/hyperlink" Target="https://www.finanztip.de/baufinanzierung/immobilie-kapitalanlage/" TargetMode="External"/><Relationship Id="rId12" Type="http://schemas.openxmlformats.org/officeDocument/2006/relationships/hyperlink" Target="https://www.baumeister-online.de/nachricht/bundesrat-stimmt-wachstumschancengesetz-zu-degressive-afa-kommt/" TargetMode="External"/><Relationship Id="rId17" Type="http://schemas.openxmlformats.org/officeDocument/2006/relationships/hyperlink" Target="https://www.controllingportal.de/Marktplatz/Excel-Tools/Excel-Vorlage-zum-Evaluieren-einer-Immobilien-Investitionen.html" TargetMode="External"/><Relationship Id="rId2" Type="http://schemas.openxmlformats.org/officeDocument/2006/relationships/hyperlink" Target="https://www.jeder-kann-immobilien.de/immobilien-rendite-berechnen/" TargetMode="External"/><Relationship Id="rId16" Type="http://schemas.openxmlformats.org/officeDocument/2006/relationships/hyperlink" Target="https://www.test.de/Wohnung-als-Kapitalanlage-Rechner-1179772-2179772/" TargetMode="External"/><Relationship Id="rId20" Type="http://schemas.openxmlformats.org/officeDocument/2006/relationships/printerSettings" Target="../printerSettings/printerSettings1.bin"/><Relationship Id="rId1" Type="http://schemas.openxmlformats.org/officeDocument/2006/relationships/hyperlink" Target="mailto:info@odenwalder-consulting.com" TargetMode="External"/><Relationship Id="rId6" Type="http://schemas.openxmlformats.org/officeDocument/2006/relationships/hyperlink" Target="https://immobilien.sparkasse.de/immobilienrechner/baukostenrechner.html" TargetMode="External"/><Relationship Id="rId11" Type="http://schemas.openxmlformats.org/officeDocument/2006/relationships/hyperlink" Target="https://www.faz.net/aktuell/finanzen/immobilien-zuegig-abschreiben-18599959.html?GEPC=s9&amp;premium=0x7494819a022a81a9f4a3f62686ef14c0561c950eb4a44415571570d2646fe373" TargetMode="External"/><Relationship Id="rId5" Type="http://schemas.openxmlformats.org/officeDocument/2006/relationships/hyperlink" Target="http://www.faz.net/aktuell/finanzen/meine-finanzen/vermoegensfragen/die-vermoegensfrage-was-werfen-immobilien-eigentlich-genau-ab-13162634.html" TargetMode="External"/><Relationship Id="rId15" Type="http://schemas.openxmlformats.org/officeDocument/2006/relationships/hyperlink" Target="https://www.faz.net/aktuell/finanzen/volker-looman/immobilien-besitzer-warum-eine-gmbh-gruendung-eine-steuerfalle-ist-18624645.html?premium=0xaaa9fab4eb295b4a46c9cf22b140a7693c7fb11727a5508bdd1f336746f3105b?GEPC=s9&amp;premium=0xaaa9fab4eb295b4a46c9cf22b140a7693c7fb11727a5508bdd1f336746f3105b" TargetMode="External"/><Relationship Id="rId10" Type="http://schemas.openxmlformats.org/officeDocument/2006/relationships/hyperlink" Target="https://prozentguru.de/gebaeude-afa-3-prozent/" TargetMode="External"/><Relationship Id="rId19" Type="http://schemas.openxmlformats.org/officeDocument/2006/relationships/hyperlink" Target="https://www.controllingportal.de/Marktplatz/Excel-Tools/Excel-Vorlage-zum-Evaluieren-einer-Immobilien-Investitionen.html" TargetMode="External"/><Relationship Id="rId4" Type="http://schemas.openxmlformats.org/officeDocument/2006/relationships/hyperlink" Target="https://ratgeber.immowelt.de/a/steuern-sparen-mit-immobilien-afa-nutzen.html" TargetMode="External"/><Relationship Id="rId9" Type="http://schemas.openxmlformats.org/officeDocument/2006/relationships/hyperlink" Target="https://www.haufe.de/immobilien/wirtschaft-politik/abschreibung-beim-mietwohnungsbau_84342_572146.html" TargetMode="External"/><Relationship Id="rId14" Type="http://schemas.openxmlformats.org/officeDocument/2006/relationships/hyperlink" Target="https://index.fmh.de/fmh-index/ueberblick/"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haufe.de/immobilien/investment/gebaeude-afa-nutzungsdauer-bei-abschreibung-von-immobilien_256_566570.html" TargetMode="External"/><Relationship Id="rId7" Type="http://schemas.openxmlformats.org/officeDocument/2006/relationships/comments" Target="../comments1.xml"/><Relationship Id="rId2" Type="http://schemas.openxmlformats.org/officeDocument/2006/relationships/hyperlink" Target="mailto:info@odenwalder-consulting.com" TargetMode="External"/><Relationship Id="rId1" Type="http://schemas.openxmlformats.org/officeDocument/2006/relationships/hyperlink" Target="http://www.immobilienmarktbericht-deutschland.info/onlinedienste/bodenrichtwerte/bodenrichtwerte-online-72280.html" TargetMode="External"/><Relationship Id="rId6" Type="http://schemas.openxmlformats.org/officeDocument/2006/relationships/vmlDrawing" Target="../drawings/vmlDrawing1.vm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hyperlink" Target="https://prozentguru.de/gebaeude-afa-3-prozent/" TargetMode="External"/><Relationship Id="rId7" Type="http://schemas.openxmlformats.org/officeDocument/2006/relationships/printerSettings" Target="../printerSettings/printerSettings3.bin"/><Relationship Id="rId2" Type="http://schemas.openxmlformats.org/officeDocument/2006/relationships/hyperlink" Target="https://www.haufe.de/immobilien/wirtschaft-politik/abschreibung-beim-mietwohnungsbau_84342_572146.html" TargetMode="External"/><Relationship Id="rId1" Type="http://schemas.openxmlformats.org/officeDocument/2006/relationships/hyperlink" Target="https://www.bmwsb.bund.de/SharedDocs/kurzmeldungen/Webs/BMWSB/DE/2024/03/degressive-afa.html" TargetMode="External"/><Relationship Id="rId6" Type="http://schemas.openxmlformats.org/officeDocument/2006/relationships/hyperlink" Target="https://ivd.net/bundesverband/steuerliche-vorteile-im-wohnungsbau-degressive-afa-sonderabschreibung" TargetMode="External"/><Relationship Id="rId5" Type="http://schemas.openxmlformats.org/officeDocument/2006/relationships/hyperlink" Target="https://www.haufe.de/immobilien/investment/gebaeude-afa-nutzungsdauer-bei-abschreibung-von-immobilien_256_566570.html" TargetMode="External"/><Relationship Id="rId10" Type="http://schemas.openxmlformats.org/officeDocument/2006/relationships/comments" Target="../comments2.xml"/><Relationship Id="rId4" Type="http://schemas.openxmlformats.org/officeDocument/2006/relationships/hyperlink" Target="https://www.haufe.de/immobilien/investment/gebaeude-afa-nutzungsdauer-bei-abschreibung-von-immobilien_256_566570.html" TargetMode="External"/><Relationship Id="rId9"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4.bin"/><Relationship Id="rId1" Type="http://schemas.openxmlformats.org/officeDocument/2006/relationships/hyperlink" Target="mailto:info@odenwalder-consulting.com" TargetMode="External"/><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mailto:info@odenwalder-consulting.com" TargetMode="Externa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6.bin"/><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9"/>
  <sheetViews>
    <sheetView workbookViewId="0">
      <pane ySplit="4" topLeftCell="A110" activePane="bottomLeft" state="frozen"/>
      <selection pane="bottomLeft" activeCell="I2" sqref="I2"/>
    </sheetView>
  </sheetViews>
  <sheetFormatPr baseColWidth="10" defaultColWidth="11.33203125" defaultRowHeight="13.95" customHeight="1"/>
  <cols>
    <col min="1" max="1" width="40.5546875" style="53" customWidth="1"/>
    <col min="2" max="6" width="11.33203125" style="53"/>
    <col min="7" max="7" width="17.109375" style="53" customWidth="1"/>
    <col min="8" max="8" width="7.44140625" style="53" customWidth="1"/>
    <col min="9" max="9" width="17.77734375" style="53" customWidth="1"/>
    <col min="10" max="16384" width="11.33203125" style="53"/>
  </cols>
  <sheetData>
    <row r="1" spans="1:9" ht="21.9" customHeight="1">
      <c r="A1" s="51" t="s">
        <v>195</v>
      </c>
      <c r="B1" s="52"/>
      <c r="C1" s="52"/>
      <c r="D1" s="52"/>
      <c r="F1" s="270" t="s">
        <v>294</v>
      </c>
      <c r="G1" s="271" t="s">
        <v>749</v>
      </c>
      <c r="H1" s="270" t="s">
        <v>384</v>
      </c>
      <c r="I1" s="272">
        <v>45989</v>
      </c>
    </row>
    <row r="2" spans="1:9" ht="21.9" customHeight="1">
      <c r="A2" s="51" t="s">
        <v>706</v>
      </c>
      <c r="B2" s="52"/>
      <c r="C2" s="52"/>
      <c r="D2" s="52"/>
      <c r="E2" s="52"/>
      <c r="F2" s="52"/>
      <c r="G2" s="52"/>
    </row>
    <row r="3" spans="1:9" ht="21.9" customHeight="1">
      <c r="A3" s="121" t="s">
        <v>252</v>
      </c>
      <c r="B3" s="118"/>
      <c r="C3" s="119"/>
      <c r="D3" s="119"/>
      <c r="E3" s="119"/>
      <c r="F3" s="119"/>
      <c r="G3" s="119"/>
    </row>
    <row r="4" spans="1:9" ht="21.9" customHeight="1">
      <c r="A4" s="120" t="s">
        <v>171</v>
      </c>
      <c r="B4" s="119"/>
      <c r="C4" s="119"/>
      <c r="D4" s="119"/>
      <c r="E4" s="119"/>
      <c r="F4" s="118"/>
      <c r="G4" s="118"/>
    </row>
    <row r="6" spans="1:9" ht="20.7" customHeight="1">
      <c r="A6" s="55" t="s">
        <v>2</v>
      </c>
    </row>
    <row r="7" spans="1:9" ht="20.7" customHeight="1">
      <c r="A7" s="62" t="s">
        <v>3</v>
      </c>
      <c r="B7" s="63"/>
      <c r="C7" s="54"/>
    </row>
    <row r="8" spans="1:9" ht="20.7" customHeight="1">
      <c r="A8" s="62" t="s">
        <v>4</v>
      </c>
      <c r="B8" s="64"/>
      <c r="C8" s="56"/>
      <c r="D8" s="55"/>
      <c r="E8" s="55"/>
    </row>
    <row r="9" spans="1:9" ht="20.7" customHeight="1">
      <c r="A9" s="55"/>
      <c r="B9" s="55"/>
      <c r="C9" s="55"/>
      <c r="D9" s="55"/>
      <c r="E9" s="55"/>
    </row>
    <row r="10" spans="1:9" ht="20.7" customHeight="1">
      <c r="A10" s="123" t="s">
        <v>5</v>
      </c>
    </row>
    <row r="11" spans="1:9" ht="12" customHeight="1">
      <c r="A11" s="116"/>
    </row>
    <row r="12" spans="1:9" ht="22.2" customHeight="1">
      <c r="A12" s="117" t="s">
        <v>244</v>
      </c>
    </row>
    <row r="13" spans="1:9" ht="22.05" customHeight="1">
      <c r="A13" s="117" t="s">
        <v>247</v>
      </c>
    </row>
    <row r="14" spans="1:9" ht="22.05" customHeight="1">
      <c r="A14" s="117" t="s">
        <v>248</v>
      </c>
    </row>
    <row r="15" spans="1:9" ht="22.05" customHeight="1">
      <c r="A15" s="117" t="s">
        <v>245</v>
      </c>
    </row>
    <row r="16" spans="1:9" ht="22.05" customHeight="1">
      <c r="A16" s="117" t="s">
        <v>251</v>
      </c>
    </row>
    <row r="17" spans="1:6" ht="22.05" customHeight="1">
      <c r="A17" s="117" t="s">
        <v>250</v>
      </c>
    </row>
    <row r="18" spans="1:6" ht="22.05" customHeight="1">
      <c r="A18" s="117" t="s">
        <v>246</v>
      </c>
    </row>
    <row r="19" spans="1:6" ht="12" customHeight="1"/>
    <row r="20" spans="1:6" ht="20.7" customHeight="1">
      <c r="A20" s="55" t="s">
        <v>552</v>
      </c>
      <c r="B20" s="124"/>
      <c r="C20" s="124"/>
      <c r="D20" s="124"/>
      <c r="E20" s="124"/>
      <c r="F20" s="124"/>
    </row>
    <row r="21" spans="1:6" ht="20.7" customHeight="1">
      <c r="A21" s="61" t="s">
        <v>553</v>
      </c>
    </row>
    <row r="22" spans="1:6" ht="20.7" customHeight="1">
      <c r="A22" s="61" t="s">
        <v>268</v>
      </c>
    </row>
    <row r="23" spans="1:6" ht="20.7" customHeight="1">
      <c r="A23" s="61" t="s">
        <v>269</v>
      </c>
    </row>
    <row r="24" spans="1:6" ht="20.7" customHeight="1">
      <c r="A24" s="61"/>
    </row>
    <row r="25" spans="1:6" ht="20.7" customHeight="1">
      <c r="A25" s="61" t="s">
        <v>6</v>
      </c>
    </row>
    <row r="26" spans="1:6" ht="20.7" customHeight="1">
      <c r="A26" s="61" t="s">
        <v>7</v>
      </c>
    </row>
    <row r="27" spans="1:6" ht="20.7" customHeight="1">
      <c r="A27" s="61" t="s">
        <v>265</v>
      </c>
      <c r="D27" s="125"/>
    </row>
    <row r="28" spans="1:6" ht="20.7" customHeight="1">
      <c r="A28" s="61" t="s">
        <v>254</v>
      </c>
    </row>
    <row r="29" spans="1:6" ht="20.7" customHeight="1">
      <c r="A29" s="61" t="s">
        <v>255</v>
      </c>
    </row>
    <row r="30" spans="1:6" ht="20.7" customHeight="1">
      <c r="A30" s="61" t="s">
        <v>256</v>
      </c>
    </row>
    <row r="31" spans="1:6" ht="20.7" customHeight="1">
      <c r="A31" s="61" t="s">
        <v>257</v>
      </c>
    </row>
    <row r="32" spans="1:6" ht="20.7" customHeight="1">
      <c r="A32" s="61" t="s">
        <v>258</v>
      </c>
    </row>
    <row r="33" spans="1:10" ht="20.7" customHeight="1">
      <c r="A33" s="61" t="s">
        <v>259</v>
      </c>
    </row>
    <row r="34" spans="1:10" ht="20.7" customHeight="1">
      <c r="A34" s="61" t="s">
        <v>260</v>
      </c>
    </row>
    <row r="35" spans="1:10" ht="20.7" customHeight="1">
      <c r="A35" s="61" t="s">
        <v>261</v>
      </c>
    </row>
    <row r="36" spans="1:10" ht="20.7" customHeight="1">
      <c r="A36" s="61" t="s">
        <v>262</v>
      </c>
    </row>
    <row r="37" spans="1:10" ht="20.7" customHeight="1">
      <c r="A37" s="61" t="s">
        <v>263</v>
      </c>
    </row>
    <row r="38" spans="1:10" ht="20.7" customHeight="1">
      <c r="A38" s="53" t="s">
        <v>264</v>
      </c>
    </row>
    <row r="39" spans="1:10" ht="20.7" customHeight="1"/>
    <row r="40" spans="1:10" ht="20.7" customHeight="1">
      <c r="A40" s="126" t="s">
        <v>8</v>
      </c>
      <c r="B40" s="127"/>
      <c r="C40" s="127"/>
      <c r="D40" s="127"/>
      <c r="E40" s="127"/>
      <c r="F40" s="127"/>
      <c r="G40" s="127"/>
      <c r="H40" s="127"/>
      <c r="I40" s="127"/>
      <c r="J40" s="127"/>
    </row>
    <row r="41" spans="1:10" ht="20.7" customHeight="1">
      <c r="A41" s="104" t="s">
        <v>9</v>
      </c>
      <c r="B41" s="105"/>
      <c r="C41" s="105"/>
      <c r="D41" s="105"/>
      <c r="E41" s="105"/>
      <c r="F41" s="127"/>
      <c r="G41" s="127"/>
      <c r="H41" s="127"/>
      <c r="I41" s="127"/>
      <c r="J41" s="127"/>
    </row>
    <row r="42" spans="1:10" ht="20.7" customHeight="1">
      <c r="A42" s="106" t="s">
        <v>267</v>
      </c>
      <c r="B42" s="105"/>
      <c r="C42" s="105"/>
      <c r="D42" s="105"/>
      <c r="E42" s="105"/>
      <c r="F42" s="127"/>
      <c r="G42" s="127"/>
      <c r="H42" s="127"/>
      <c r="I42" s="127"/>
      <c r="J42" s="127"/>
    </row>
    <row r="43" spans="1:10" ht="20.7" customHeight="1">
      <c r="A43" s="106" t="s">
        <v>266</v>
      </c>
      <c r="B43" s="105"/>
      <c r="C43" s="105"/>
      <c r="D43" s="105"/>
      <c r="E43" s="105"/>
      <c r="F43" s="127"/>
      <c r="G43" s="127"/>
      <c r="H43" s="127"/>
      <c r="I43" s="127"/>
      <c r="J43" s="127"/>
    </row>
    <row r="44" spans="1:10" ht="42" customHeight="1">
      <c r="A44" s="598" t="s">
        <v>196</v>
      </c>
      <c r="B44" s="598"/>
      <c r="C44" s="598"/>
    </row>
    <row r="45" spans="1:10" ht="20.7" customHeight="1">
      <c r="A45" s="122" t="s">
        <v>249</v>
      </c>
    </row>
    <row r="46" spans="1:10" ht="20.7" customHeight="1">
      <c r="A46" s="57" t="s">
        <v>10</v>
      </c>
    </row>
    <row r="47" spans="1:10" ht="20.7" customHeight="1">
      <c r="A47" s="57"/>
    </row>
    <row r="48" spans="1:10" ht="20.7" customHeight="1">
      <c r="A48" s="299" t="s">
        <v>406</v>
      </c>
    </row>
    <row r="49" spans="1:5" ht="20.7" customHeight="1">
      <c r="A49" s="334" t="s">
        <v>560</v>
      </c>
    </row>
    <row r="50" spans="1:5" ht="20.7" customHeight="1">
      <c r="A50" s="498" t="s">
        <v>647</v>
      </c>
    </row>
    <row r="51" spans="1:5" ht="20.7" customHeight="1">
      <c r="A51" s="498"/>
    </row>
    <row r="52" spans="1:5" ht="20.7" customHeight="1">
      <c r="A52" s="57"/>
    </row>
    <row r="53" spans="1:5" ht="20.7" customHeight="1">
      <c r="A53" s="124" t="s">
        <v>187</v>
      </c>
      <c r="B53" s="124"/>
      <c r="C53" s="124"/>
      <c r="D53" s="124"/>
      <c r="E53" s="124"/>
    </row>
    <row r="54" spans="1:5" ht="20.7" customHeight="1">
      <c r="A54" s="96" t="s">
        <v>184</v>
      </c>
    </row>
    <row r="55" spans="1:5" ht="20.7" customHeight="1">
      <c r="A55" s="96" t="s">
        <v>185</v>
      </c>
    </row>
    <row r="56" spans="1:5" ht="20.7" customHeight="1">
      <c r="A56" s="96" t="s">
        <v>186</v>
      </c>
    </row>
    <row r="57" spans="1:5" ht="20.7" customHeight="1">
      <c r="A57" s="96" t="s">
        <v>217</v>
      </c>
    </row>
    <row r="58" spans="1:5" ht="20.7" customHeight="1">
      <c r="A58" s="96" t="s">
        <v>230</v>
      </c>
    </row>
    <row r="59" spans="1:5" ht="20.7" customHeight="1">
      <c r="A59" s="96" t="s">
        <v>231</v>
      </c>
    </row>
    <row r="60" spans="1:5" ht="20.7" customHeight="1">
      <c r="A60" s="96" t="s">
        <v>533</v>
      </c>
    </row>
    <row r="61" spans="1:5" ht="20.7" customHeight="1">
      <c r="A61" s="410" t="s">
        <v>554</v>
      </c>
    </row>
    <row r="62" spans="1:5" ht="20.7" customHeight="1">
      <c r="A62" s="410" t="s">
        <v>556</v>
      </c>
    </row>
    <row r="63" spans="1:5" ht="20.7" customHeight="1">
      <c r="A63" s="410" t="s">
        <v>558</v>
      </c>
    </row>
    <row r="64" spans="1:5" ht="20.7" customHeight="1">
      <c r="A64" s="410"/>
    </row>
    <row r="65" spans="1:2" ht="20.7" customHeight="1"/>
    <row r="66" spans="1:2" ht="20.7" customHeight="1">
      <c r="A66" s="331" t="s">
        <v>421</v>
      </c>
    </row>
    <row r="67" spans="1:2" ht="20.7" customHeight="1">
      <c r="A67" s="333" t="s">
        <v>431</v>
      </c>
      <c r="B67" s="96" t="s">
        <v>430</v>
      </c>
    </row>
    <row r="68" spans="1:2" ht="20.7" customHeight="1">
      <c r="A68" s="332" t="s">
        <v>422</v>
      </c>
    </row>
    <row r="69" spans="1:2" ht="20.7" customHeight="1">
      <c r="A69" s="332" t="s">
        <v>423</v>
      </c>
    </row>
    <row r="70" spans="1:2" ht="20.7" customHeight="1">
      <c r="A70" s="332" t="s">
        <v>424</v>
      </c>
    </row>
    <row r="71" spans="1:2" ht="20.7" customHeight="1">
      <c r="A71" s="332" t="s">
        <v>425</v>
      </c>
    </row>
    <row r="72" spans="1:2" ht="20.7" customHeight="1">
      <c r="A72" s="428" t="s">
        <v>577</v>
      </c>
    </row>
    <row r="73" spans="1:2" ht="20.7" customHeight="1">
      <c r="A73" s="428" t="s">
        <v>576</v>
      </c>
    </row>
    <row r="74" spans="1:2" ht="20.7" customHeight="1">
      <c r="A74" s="429" t="s">
        <v>578</v>
      </c>
    </row>
    <row r="75" spans="1:2" ht="20.7" customHeight="1">
      <c r="A75" s="332" t="s">
        <v>426</v>
      </c>
    </row>
    <row r="76" spans="1:2" ht="20.7" customHeight="1">
      <c r="A76" s="332" t="s">
        <v>427</v>
      </c>
    </row>
    <row r="77" spans="1:2" ht="20.7" customHeight="1">
      <c r="A77" s="332" t="s">
        <v>428</v>
      </c>
    </row>
    <row r="78" spans="1:2" ht="20.7" customHeight="1">
      <c r="A78" s="332" t="s">
        <v>429</v>
      </c>
    </row>
    <row r="79" spans="1:2" ht="20.7" customHeight="1">
      <c r="A79" s="53" t="s">
        <v>489</v>
      </c>
      <c r="B79" s="96" t="s">
        <v>575</v>
      </c>
    </row>
    <row r="80" spans="1:2" ht="20.7" customHeight="1">
      <c r="B80" s="96"/>
    </row>
    <row r="81" spans="1:9" ht="20.7" customHeight="1">
      <c r="A81" s="111" t="s">
        <v>432</v>
      </c>
    </row>
    <row r="82" spans="1:9" ht="48.6" customHeight="1">
      <c r="A82" s="599" t="s">
        <v>433</v>
      </c>
      <c r="B82" s="599"/>
      <c r="C82" s="599"/>
      <c r="D82" s="599"/>
      <c r="E82" s="599"/>
      <c r="F82" s="599"/>
      <c r="G82" s="599"/>
      <c r="H82" s="599"/>
      <c r="I82" s="599"/>
    </row>
    <row r="83" spans="1:9" ht="20.7" customHeight="1"/>
    <row r="84" spans="1:9" ht="20.7" customHeight="1"/>
    <row r="85" spans="1:9" ht="20.7" customHeight="1">
      <c r="A85" s="331" t="s">
        <v>434</v>
      </c>
    </row>
    <row r="86" spans="1:9" ht="20.7" customHeight="1">
      <c r="A86" s="333" t="s">
        <v>431</v>
      </c>
      <c r="B86" s="96" t="s">
        <v>438</v>
      </c>
    </row>
    <row r="87" spans="1:9" ht="33.6" customHeight="1">
      <c r="A87" s="599" t="s">
        <v>435</v>
      </c>
      <c r="B87" s="599"/>
      <c r="C87" s="599"/>
      <c r="D87" s="599"/>
      <c r="E87" s="599"/>
      <c r="F87" s="599"/>
      <c r="G87" s="599"/>
      <c r="H87" s="599"/>
      <c r="I87" s="599"/>
    </row>
    <row r="88" spans="1:9" ht="33.6" customHeight="1">
      <c r="A88" s="599" t="s">
        <v>436</v>
      </c>
      <c r="B88" s="599"/>
      <c r="C88" s="599"/>
      <c r="D88" s="599"/>
      <c r="E88" s="599"/>
      <c r="F88" s="599"/>
      <c r="G88" s="599"/>
      <c r="H88" s="599"/>
      <c r="I88" s="599"/>
    </row>
    <row r="89" spans="1:9" ht="18" customHeight="1">
      <c r="A89" s="599" t="s">
        <v>437</v>
      </c>
      <c r="B89" s="599"/>
      <c r="C89" s="599"/>
      <c r="D89" s="599"/>
      <c r="E89" s="599"/>
      <c r="F89" s="599"/>
      <c r="G89" s="599"/>
      <c r="H89" s="599"/>
      <c r="I89" s="599"/>
    </row>
    <row r="91" spans="1:9" ht="13.95" customHeight="1">
      <c r="A91" s="401" t="s">
        <v>489</v>
      </c>
      <c r="B91" s="96" t="s">
        <v>447</v>
      </c>
    </row>
    <row r="92" spans="1:9" ht="13.95" customHeight="1">
      <c r="A92" s="401" t="s">
        <v>489</v>
      </c>
      <c r="B92" s="96" t="s">
        <v>536</v>
      </c>
    </row>
    <row r="98" spans="1:9" s="408" customFormat="1" ht="31.2" customHeight="1">
      <c r="A98" s="407" t="s">
        <v>537</v>
      </c>
      <c r="B98"/>
      <c r="C98"/>
      <c r="D98"/>
      <c r="E98"/>
      <c r="F98"/>
      <c r="G98"/>
      <c r="H98"/>
      <c r="I98"/>
    </row>
    <row r="99" spans="1:9" s="408" customFormat="1" ht="13.95" customHeight="1">
      <c r="A99"/>
      <c r="B99"/>
      <c r="C99"/>
      <c r="D99"/>
      <c r="E99"/>
      <c r="F99"/>
      <c r="G99"/>
      <c r="H99"/>
      <c r="I99"/>
    </row>
    <row r="100" spans="1:9" s="408" customFormat="1" ht="13.95" customHeight="1">
      <c r="A100" s="404" t="s">
        <v>548</v>
      </c>
      <c r="B100"/>
      <c r="C100"/>
      <c r="D100"/>
      <c r="E100"/>
      <c r="F100"/>
      <c r="G100"/>
      <c r="H100"/>
      <c r="I100"/>
    </row>
    <row r="101" spans="1:9" s="408" customFormat="1" ht="13.95" customHeight="1">
      <c r="A101" s="404" t="s">
        <v>549</v>
      </c>
      <c r="B101"/>
      <c r="C101"/>
      <c r="D101"/>
      <c r="E101"/>
      <c r="F101"/>
      <c r="G101"/>
      <c r="H101"/>
      <c r="I101"/>
    </row>
    <row r="102" spans="1:9" s="408" customFormat="1" ht="13.95" customHeight="1">
      <c r="A102" s="404" t="s">
        <v>538</v>
      </c>
      <c r="B102"/>
      <c r="C102"/>
      <c r="D102"/>
      <c r="E102"/>
      <c r="F102"/>
      <c r="G102"/>
      <c r="H102"/>
      <c r="I102"/>
    </row>
    <row r="103" spans="1:9" s="408" customFormat="1" ht="13.95" customHeight="1">
      <c r="B103"/>
      <c r="C103"/>
      <c r="D103"/>
      <c r="E103"/>
      <c r="F103"/>
      <c r="G103"/>
      <c r="H103"/>
      <c r="I103"/>
    </row>
    <row r="104" spans="1:9" s="408" customFormat="1" ht="13.95" customHeight="1">
      <c r="B104"/>
      <c r="C104"/>
      <c r="D104"/>
      <c r="E104"/>
      <c r="F104"/>
      <c r="G104"/>
      <c r="H104"/>
      <c r="I104"/>
    </row>
    <row r="105" spans="1:9" s="408" customFormat="1" ht="13.95" customHeight="1">
      <c r="B105"/>
      <c r="C105"/>
      <c r="D105"/>
      <c r="E105"/>
      <c r="F105"/>
      <c r="G105"/>
      <c r="H105"/>
      <c r="I105"/>
    </row>
    <row r="106" spans="1:9" s="408" customFormat="1" ht="13.95" customHeight="1"/>
    <row r="107" spans="1:9" s="408" customFormat="1" ht="13.95" customHeight="1"/>
    <row r="108" spans="1:9" s="408" customFormat="1" ht="13.95" customHeight="1"/>
    <row r="109" spans="1:9" s="408" customFormat="1" ht="13.95" customHeight="1">
      <c r="A109" s="404"/>
      <c r="B109"/>
      <c r="C109"/>
      <c r="D109"/>
      <c r="E109"/>
      <c r="F109"/>
      <c r="G109"/>
      <c r="H109"/>
      <c r="I109"/>
    </row>
    <row r="110" spans="1:9" s="408" customFormat="1" ht="13.95" customHeight="1">
      <c r="A110" s="404"/>
      <c r="B110"/>
      <c r="C110"/>
      <c r="D110"/>
      <c r="E110"/>
      <c r="F110"/>
      <c r="G110"/>
      <c r="H110"/>
      <c r="I110"/>
    </row>
    <row r="111" spans="1:9" s="408" customFormat="1" ht="13.95" customHeight="1">
      <c r="A111" s="404" t="s">
        <v>551</v>
      </c>
    </row>
    <row r="112" spans="1:9" s="408" customFormat="1" ht="13.95" customHeight="1">
      <c r="A112" s="404" t="s">
        <v>550</v>
      </c>
      <c r="B112"/>
      <c r="C112"/>
      <c r="D112"/>
      <c r="E112"/>
      <c r="F112"/>
      <c r="G112"/>
      <c r="H112"/>
      <c r="I112"/>
    </row>
    <row r="113" spans="1:9" s="408" customFormat="1" ht="13.95" customHeight="1">
      <c r="A113" s="404" t="s">
        <v>539</v>
      </c>
      <c r="B113"/>
      <c r="C113"/>
      <c r="D113"/>
      <c r="E113"/>
      <c r="F113"/>
      <c r="G113"/>
      <c r="H113"/>
      <c r="I113"/>
    </row>
    <row r="114" spans="1:9" s="408" customFormat="1" ht="13.95" customHeight="1">
      <c r="A114" s="404"/>
      <c r="B114"/>
      <c r="C114"/>
      <c r="D114"/>
      <c r="E114"/>
      <c r="F114"/>
      <c r="G114"/>
      <c r="H114"/>
      <c r="I114"/>
    </row>
    <row r="115" spans="1:9" s="408" customFormat="1" ht="13.95" customHeight="1">
      <c r="A115" s="404" t="s">
        <v>540</v>
      </c>
      <c r="B115"/>
      <c r="C115"/>
      <c r="D115"/>
      <c r="E115"/>
      <c r="F115"/>
      <c r="G115"/>
      <c r="H115"/>
      <c r="I115"/>
    </row>
    <row r="116" spans="1:9" ht="13.95" customHeight="1" thickBot="1">
      <c r="A116" s="402"/>
      <c r="B116"/>
      <c r="C116"/>
      <c r="D116"/>
      <c r="E116"/>
      <c r="F116"/>
      <c r="G116"/>
      <c r="H116"/>
      <c r="I116"/>
    </row>
    <row r="117" spans="1:9" ht="15.6" customHeight="1">
      <c r="A117" s="592" t="s">
        <v>541</v>
      </c>
      <c r="B117" s="593"/>
      <c r="C117" s="462"/>
      <c r="D117" s="462"/>
      <c r="E117" s="462"/>
      <c r="F117" s="463"/>
      <c r="G117" s="583" t="s">
        <v>544</v>
      </c>
      <c r="H117" s="584"/>
      <c r="I117" s="585"/>
    </row>
    <row r="118" spans="1:9" ht="15.6" customHeight="1">
      <c r="A118" s="594" t="s">
        <v>542</v>
      </c>
      <c r="B118" s="595"/>
      <c r="C118" s="464"/>
      <c r="D118" s="464"/>
      <c r="E118" s="464"/>
      <c r="F118" s="465"/>
      <c r="G118" s="586" t="s">
        <v>545</v>
      </c>
      <c r="H118" s="587"/>
      <c r="I118" s="588"/>
    </row>
    <row r="119" spans="1:9" ht="15.6" customHeight="1" thickBot="1">
      <c r="A119" s="596" t="s">
        <v>543</v>
      </c>
      <c r="B119" s="597"/>
      <c r="C119" s="466"/>
      <c r="D119" s="466"/>
      <c r="E119" s="466"/>
      <c r="F119" s="467"/>
      <c r="G119" s="589"/>
      <c r="H119" s="590"/>
      <c r="I119" s="591"/>
    </row>
    <row r="120" spans="1:9" ht="13.95" customHeight="1" thickBot="1">
      <c r="A120" s="403"/>
      <c r="B120" s="580" t="s">
        <v>546</v>
      </c>
      <c r="C120" s="581"/>
      <c r="D120" s="581"/>
      <c r="E120" s="581"/>
      <c r="F120" s="581"/>
      <c r="G120" s="581"/>
      <c r="H120" s="581"/>
      <c r="I120" s="582"/>
    </row>
    <row r="121" spans="1:9" ht="13.95" customHeight="1" thickBot="1">
      <c r="A121" s="405" t="s">
        <v>162</v>
      </c>
      <c r="B121" s="409">
        <v>0.01</v>
      </c>
      <c r="C121" s="409">
        <v>0.02</v>
      </c>
      <c r="D121" s="409">
        <v>0.03</v>
      </c>
      <c r="E121" s="409">
        <v>0.04</v>
      </c>
      <c r="F121" s="409">
        <v>0.05</v>
      </c>
      <c r="G121" s="409">
        <v>0.06</v>
      </c>
      <c r="H121" s="409">
        <v>7.0000000000000007E-2</v>
      </c>
      <c r="I121" s="409">
        <v>0.08</v>
      </c>
    </row>
    <row r="122" spans="1:9" ht="13.95" customHeight="1" thickBot="1">
      <c r="A122" s="406">
        <v>0.01</v>
      </c>
      <c r="B122" s="416">
        <v>69.3</v>
      </c>
      <c r="C122" s="416">
        <v>55</v>
      </c>
      <c r="D122" s="416">
        <v>46.3</v>
      </c>
      <c r="E122" s="416">
        <v>40.299999999999997</v>
      </c>
      <c r="F122" s="416">
        <v>35.9</v>
      </c>
      <c r="G122" s="416">
        <v>32.5</v>
      </c>
      <c r="H122" s="416">
        <v>29.8</v>
      </c>
      <c r="I122" s="416">
        <v>27.6</v>
      </c>
    </row>
    <row r="123" spans="1:9" ht="13.95" customHeight="1" thickBot="1">
      <c r="A123" s="406">
        <v>0.02</v>
      </c>
      <c r="B123" s="416">
        <v>40.6</v>
      </c>
      <c r="C123" s="416">
        <v>34.700000000000003</v>
      </c>
      <c r="D123" s="416">
        <v>30.6</v>
      </c>
      <c r="E123" s="416">
        <v>27.5</v>
      </c>
      <c r="F123" s="416">
        <v>25.1</v>
      </c>
      <c r="G123" s="416">
        <v>23.2</v>
      </c>
      <c r="H123" s="416">
        <v>21.5</v>
      </c>
      <c r="I123" s="416">
        <v>20.2</v>
      </c>
    </row>
    <row r="124" spans="1:9" ht="13.95" customHeight="1" thickBot="1">
      <c r="A124" s="406">
        <v>0.03</v>
      </c>
      <c r="B124" s="416">
        <v>28.8</v>
      </c>
      <c r="C124" s="416">
        <v>25.6</v>
      </c>
      <c r="D124" s="416">
        <v>23.1</v>
      </c>
      <c r="E124" s="416">
        <v>21.2</v>
      </c>
      <c r="F124" s="416">
        <v>19.7</v>
      </c>
      <c r="G124" s="416">
        <v>18.399999999999999</v>
      </c>
      <c r="H124" s="416">
        <v>17.2</v>
      </c>
      <c r="I124" s="416">
        <v>16.3</v>
      </c>
    </row>
    <row r="125" spans="1:9" ht="13.95" customHeight="1" thickBot="1">
      <c r="A125" s="406">
        <v>0.04</v>
      </c>
      <c r="B125" s="416">
        <v>22.3</v>
      </c>
      <c r="C125" s="416">
        <v>20.3</v>
      </c>
      <c r="D125" s="416">
        <v>18.7</v>
      </c>
      <c r="E125" s="416">
        <v>17.399999999999999</v>
      </c>
      <c r="F125" s="416">
        <v>16.3</v>
      </c>
      <c r="G125" s="416">
        <v>15.3</v>
      </c>
      <c r="H125" s="416">
        <v>14.5</v>
      </c>
      <c r="I125" s="416">
        <v>13.8</v>
      </c>
    </row>
    <row r="126" spans="1:9" ht="13.95" customHeight="1" thickBot="1">
      <c r="A126" s="406">
        <v>0.05</v>
      </c>
      <c r="B126" s="416">
        <v>18.2</v>
      </c>
      <c r="C126" s="416">
        <v>16.8</v>
      </c>
      <c r="D126" s="416">
        <v>15.7</v>
      </c>
      <c r="E126" s="416">
        <v>14.7</v>
      </c>
      <c r="F126" s="416">
        <v>13.9</v>
      </c>
      <c r="G126" s="416">
        <v>13.2</v>
      </c>
      <c r="H126" s="416">
        <v>12.5</v>
      </c>
      <c r="I126" s="416">
        <v>12</v>
      </c>
    </row>
    <row r="127" spans="1:9" ht="13.95" customHeight="1" thickBot="1">
      <c r="A127" s="406">
        <v>0.06</v>
      </c>
      <c r="B127" s="416">
        <v>15.4</v>
      </c>
      <c r="C127" s="416">
        <v>14.4</v>
      </c>
      <c r="D127" s="416">
        <v>13.5</v>
      </c>
      <c r="E127" s="416">
        <v>12.8</v>
      </c>
      <c r="F127" s="416">
        <v>12.1</v>
      </c>
      <c r="G127" s="416">
        <v>11.6</v>
      </c>
      <c r="H127" s="416">
        <v>11.1</v>
      </c>
      <c r="I127" s="416">
        <v>10.6</v>
      </c>
    </row>
    <row r="128" spans="1:9" ht="13.95" customHeight="1" thickBot="1">
      <c r="A128" s="406">
        <v>7.0000000000000007E-2</v>
      </c>
      <c r="B128" s="416">
        <v>13.4</v>
      </c>
      <c r="C128" s="416">
        <v>12.6</v>
      </c>
      <c r="D128" s="416">
        <v>11.9</v>
      </c>
      <c r="E128" s="416">
        <v>11.3</v>
      </c>
      <c r="F128" s="416">
        <v>10.8</v>
      </c>
      <c r="G128" s="416">
        <v>10.3</v>
      </c>
      <c r="H128" s="416">
        <v>9.9</v>
      </c>
      <c r="I128" s="416">
        <v>9.6</v>
      </c>
    </row>
    <row r="129" spans="1:9" ht="13.95" customHeight="1" thickBot="1">
      <c r="A129" s="406">
        <v>0.08</v>
      </c>
      <c r="B129" s="416">
        <v>11.8</v>
      </c>
      <c r="C129" s="416">
        <v>11.2</v>
      </c>
      <c r="D129" s="416">
        <v>10.6</v>
      </c>
      <c r="E129" s="416">
        <v>10.199999999999999</v>
      </c>
      <c r="F129" s="416">
        <v>9.6999999999999993</v>
      </c>
      <c r="G129" s="416">
        <v>9.4</v>
      </c>
      <c r="H129" s="416">
        <v>9</v>
      </c>
      <c r="I129" s="416">
        <v>8.6999999999999993</v>
      </c>
    </row>
    <row r="130" spans="1:9" ht="13.95" customHeight="1" thickBot="1">
      <c r="A130" s="406">
        <v>0.09</v>
      </c>
      <c r="B130" s="416">
        <v>10.5</v>
      </c>
      <c r="C130" s="416">
        <v>10</v>
      </c>
      <c r="D130" s="416">
        <v>9.6</v>
      </c>
      <c r="E130" s="416">
        <v>9.1999999999999993</v>
      </c>
      <c r="F130" s="416">
        <v>8.9</v>
      </c>
      <c r="G130" s="416">
        <v>8.5</v>
      </c>
      <c r="H130" s="416">
        <v>8.1999999999999993</v>
      </c>
      <c r="I130" s="416">
        <v>8</v>
      </c>
    </row>
    <row r="131" spans="1:9" ht="13.95" customHeight="1" thickBot="1">
      <c r="A131" s="406">
        <v>0.1</v>
      </c>
      <c r="B131" s="416">
        <v>9.5</v>
      </c>
      <c r="C131" s="416">
        <v>9.1</v>
      </c>
      <c r="D131" s="416">
        <v>8.8000000000000007</v>
      </c>
      <c r="E131" s="416">
        <v>8.4</v>
      </c>
      <c r="F131" s="416">
        <v>8.1</v>
      </c>
      <c r="G131" s="416">
        <v>7.9</v>
      </c>
      <c r="H131" s="416">
        <v>7.6</v>
      </c>
      <c r="I131" s="416">
        <v>7.4</v>
      </c>
    </row>
    <row r="132" spans="1:9" ht="13.95" customHeight="1">
      <c r="A132" s="404"/>
      <c r="B132"/>
      <c r="C132"/>
      <c r="D132"/>
      <c r="E132"/>
      <c r="F132"/>
      <c r="G132"/>
      <c r="H132"/>
      <c r="I132"/>
    </row>
    <row r="133" spans="1:9" s="408" customFormat="1" ht="13.95" customHeight="1">
      <c r="A133" s="404" t="s">
        <v>547</v>
      </c>
      <c r="B133"/>
      <c r="C133"/>
      <c r="D133"/>
      <c r="E133"/>
      <c r="F133"/>
      <c r="G133"/>
      <c r="H133"/>
      <c r="I133"/>
    </row>
    <row r="139" spans="1:9" ht="33" customHeight="1">
      <c r="A139" s="411" t="s">
        <v>555</v>
      </c>
      <c r="B139" s="410" t="s">
        <v>554</v>
      </c>
    </row>
    <row r="142" spans="1:9" ht="22.2" customHeight="1">
      <c r="A142" s="417" t="s">
        <v>45</v>
      </c>
    </row>
    <row r="143" spans="1:9" ht="13.95" customHeight="1">
      <c r="A143" s="579" t="s">
        <v>559</v>
      </c>
      <c r="B143" s="579"/>
      <c r="C143" s="579"/>
      <c r="D143" s="579"/>
      <c r="E143" s="579"/>
      <c r="F143" s="579"/>
      <c r="G143" s="579"/>
    </row>
    <row r="144" spans="1:9" ht="13.95" customHeight="1">
      <c r="A144" s="579"/>
      <c r="B144" s="579"/>
      <c r="C144" s="579"/>
      <c r="D144" s="579"/>
      <c r="E144" s="579"/>
      <c r="F144" s="579"/>
      <c r="G144" s="579"/>
    </row>
    <row r="145" spans="1:7" ht="13.95" customHeight="1">
      <c r="A145" s="579"/>
      <c r="B145" s="579"/>
      <c r="C145" s="579"/>
      <c r="D145" s="579"/>
      <c r="E145" s="579"/>
      <c r="F145" s="579"/>
      <c r="G145" s="579"/>
    </row>
    <row r="146" spans="1:7" ht="13.95" customHeight="1">
      <c r="A146" s="579"/>
      <c r="B146" s="579"/>
      <c r="C146" s="579"/>
      <c r="D146" s="579"/>
      <c r="E146" s="579"/>
      <c r="F146" s="579"/>
      <c r="G146" s="579"/>
    </row>
    <row r="147" spans="1:7" ht="13.95" customHeight="1">
      <c r="A147" s="579"/>
      <c r="B147" s="579"/>
      <c r="C147" s="579"/>
      <c r="D147" s="579"/>
      <c r="E147" s="579"/>
      <c r="F147" s="579"/>
      <c r="G147" s="579"/>
    </row>
    <row r="148" spans="1:7" ht="13.95" customHeight="1">
      <c r="A148" s="579"/>
      <c r="B148" s="579"/>
      <c r="C148" s="579"/>
      <c r="D148" s="579"/>
      <c r="E148" s="579"/>
      <c r="F148" s="579"/>
      <c r="G148" s="579"/>
    </row>
    <row r="149" spans="1:7" ht="13.95" customHeight="1">
      <c r="A149" s="579"/>
      <c r="B149" s="579"/>
      <c r="C149" s="579"/>
      <c r="D149" s="579"/>
      <c r="E149" s="579"/>
      <c r="F149" s="579"/>
      <c r="G149" s="579"/>
    </row>
    <row r="150" spans="1:7" ht="13.95" customHeight="1">
      <c r="A150" s="579"/>
      <c r="B150" s="579"/>
      <c r="C150" s="579"/>
      <c r="D150" s="579"/>
      <c r="E150" s="579"/>
      <c r="F150" s="579"/>
      <c r="G150" s="579"/>
    </row>
    <row r="151" spans="1:7" ht="13.95" customHeight="1">
      <c r="A151" s="579"/>
      <c r="B151" s="579"/>
      <c r="C151" s="579"/>
      <c r="D151" s="579"/>
      <c r="E151" s="579"/>
      <c r="F151" s="579"/>
      <c r="G151" s="579"/>
    </row>
    <row r="152" spans="1:7" ht="13.95" customHeight="1">
      <c r="A152" s="579"/>
      <c r="B152" s="579"/>
      <c r="C152" s="579"/>
      <c r="D152" s="579"/>
      <c r="E152" s="579"/>
      <c r="F152" s="579"/>
      <c r="G152" s="579"/>
    </row>
    <row r="153" spans="1:7" ht="13.95" customHeight="1">
      <c r="A153" s="365"/>
      <c r="B153" s="365"/>
      <c r="C153" s="365"/>
      <c r="D153" s="365"/>
      <c r="E153" s="365"/>
      <c r="F153" s="365"/>
      <c r="G153" s="365"/>
    </row>
    <row r="154" spans="1:7" ht="19.95" customHeight="1">
      <c r="A154" s="504" t="s">
        <v>667</v>
      </c>
    </row>
    <row r="155" spans="1:7" ht="19.95" customHeight="1">
      <c r="A155" s="22" t="s">
        <v>168</v>
      </c>
    </row>
    <row r="156" spans="1:7" ht="19.95" customHeight="1">
      <c r="A156" s="22" t="s">
        <v>668</v>
      </c>
    </row>
    <row r="157" spans="1:7" ht="19.95" customHeight="1">
      <c r="A157" s="22" t="s">
        <v>245</v>
      </c>
    </row>
    <row r="158" spans="1:7" ht="19.95" customHeight="1">
      <c r="A158" s="22" t="s">
        <v>669</v>
      </c>
    </row>
    <row r="159" spans="1:7" ht="19.95" customHeight="1">
      <c r="A159" s="22" t="s">
        <v>670</v>
      </c>
    </row>
  </sheetData>
  <sheetProtection selectLockedCells="1" selectUnlockedCells="1"/>
  <mergeCells count="13">
    <mergeCell ref="A44:C44"/>
    <mergeCell ref="A82:I82"/>
    <mergeCell ref="A87:I87"/>
    <mergeCell ref="A88:I88"/>
    <mergeCell ref="A89:I89"/>
    <mergeCell ref="A143:G152"/>
    <mergeCell ref="B120:I120"/>
    <mergeCell ref="G117:I117"/>
    <mergeCell ref="G118:I118"/>
    <mergeCell ref="G119:I119"/>
    <mergeCell ref="A117:B117"/>
    <mergeCell ref="A118:B118"/>
    <mergeCell ref="A119:B119"/>
  </mergeCells>
  <hyperlinks>
    <hyperlink ref="A46" r:id="rId1" xr:uid="{00000000-0004-0000-0000-000000000000}"/>
    <hyperlink ref="A54" r:id="rId2" xr:uid="{00000000-0004-0000-0000-000001000000}"/>
    <hyperlink ref="A55" r:id="rId3" xr:uid="{00000000-0004-0000-0000-000002000000}"/>
    <hyperlink ref="A56" r:id="rId4" xr:uid="{00000000-0004-0000-0000-000003000000}"/>
    <hyperlink ref="A57" r:id="rId5" xr:uid="{00000000-0004-0000-0000-000004000000}"/>
    <hyperlink ref="A58" r:id="rId6" xr:uid="{00000000-0004-0000-0000-000005000000}"/>
    <hyperlink ref="A59" r:id="rId7" xr:uid="{00000000-0004-0000-0000-000006000000}"/>
    <hyperlink ref="B67" r:id="rId8" xr:uid="{0667BEA2-B50E-43AC-AF4A-8A88A415B780}"/>
    <hyperlink ref="B86" r:id="rId9" xr:uid="{F647D757-6A0B-46D0-A5D4-933445C1C1E2}"/>
    <hyperlink ref="B91" r:id="rId10" xr:uid="{FA8D1986-0B23-4B2F-9E00-B16C7CA6EE99}"/>
    <hyperlink ref="A60" r:id="rId11" xr:uid="{1B395890-031A-4171-B5D2-BCC069DC5D9A}"/>
    <hyperlink ref="B92" r:id="rId12" xr:uid="{D90CC781-5CF5-4D69-B821-A2ECEDB346F0}"/>
    <hyperlink ref="B139" r:id="rId13" xr:uid="{566ED60A-E0D6-4F40-A3D9-092FE1E38000}"/>
    <hyperlink ref="A61" r:id="rId14" xr:uid="{F62A26BA-8FC9-45C0-980C-A6941B70AE53}"/>
    <hyperlink ref="A62" r:id="rId15" xr:uid="{E5CFD6D5-EF8C-47FC-9AB6-A5BF4DCEEB25}"/>
    <hyperlink ref="A63" r:id="rId16" xr:uid="{C4B5ED05-CFF8-4B17-9032-DADF5ADD2270}"/>
    <hyperlink ref="A49" r:id="rId17" xr:uid="{DF615F27-0FAD-4E02-BFE9-722EF06EEA94}"/>
    <hyperlink ref="B79" r:id="rId18" xr:uid="{0CEBD80A-6FAC-4C06-993D-35D099A2A3E2}"/>
    <hyperlink ref="A50" r:id="rId19" display="Lades das Excel-File von dort ab un an herunter und schau nach im Blatt &quot;ChangeLog&quot;, ob du die aktuelle Version hast!" xr:uid="{EA28EFB4-958C-46E3-8749-E8A438F8B092}"/>
  </hyperlinks>
  <pageMargins left="0.78749999999999998" right="0.78749999999999998" top="1.0527777777777778" bottom="1.0527777777777778" header="0.78749999999999998" footer="0.78749999999999998"/>
  <pageSetup paperSize="9" firstPageNumber="0" orientation="portrait" horizontalDpi="300" verticalDpi="300" r:id="rId20"/>
  <headerFooter alignWithMargins="0">
    <oddHeader>&amp;C&amp;"Times New Roman,Regular"&amp;12&amp;A</oddHeader>
    <oddFooter>&amp;C&amp;"Times New Roman,Regular"&amp;12Page &amp;P</oddFooter>
  </headerFooter>
  <drawing r:id="rId2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03"/>
  <sheetViews>
    <sheetView tabSelected="1" zoomScale="110" zoomScaleNormal="110" workbookViewId="0">
      <pane xSplit="1" topLeftCell="B1" activePane="topRight" state="frozen"/>
      <selection pane="topRight" activeCell="L70" sqref="L70"/>
    </sheetView>
  </sheetViews>
  <sheetFormatPr baseColWidth="10" defaultColWidth="11.5546875" defaultRowHeight="13.8"/>
  <cols>
    <col min="1" max="1" width="46.21875" style="3" customWidth="1"/>
    <col min="2" max="2" width="22.109375" style="3" customWidth="1"/>
    <col min="3" max="3" width="13.44140625" style="3" customWidth="1"/>
    <col min="4" max="4" width="6.88671875" style="3" customWidth="1"/>
    <col min="5" max="7" width="11.5546875" style="3"/>
    <col min="8" max="8" width="11.5546875" style="7"/>
    <col min="9" max="9" width="17" style="7" customWidth="1"/>
    <col min="10" max="10" width="6" style="7" customWidth="1"/>
    <col min="11" max="11" width="11.5546875" style="7"/>
    <col min="12" max="12" width="19.21875" style="7" customWidth="1"/>
    <col min="13" max="13" width="13.6640625" style="7" customWidth="1"/>
    <col min="14" max="14" width="13.109375" style="7" customWidth="1"/>
    <col min="15" max="15" width="10.21875" style="7" customWidth="1"/>
    <col min="16" max="16" width="10.109375" style="7" customWidth="1"/>
    <col min="17" max="17" width="20.6640625" style="7" customWidth="1"/>
    <col min="18" max="18" width="7.5546875" style="7" customWidth="1"/>
    <col min="19" max="19" width="8.44140625" style="7" customWidth="1"/>
    <col min="20" max="16384" width="11.5546875" style="7"/>
  </cols>
  <sheetData>
    <row r="1" spans="1:16" ht="15" thickBot="1">
      <c r="A1" s="60" t="s">
        <v>0</v>
      </c>
      <c r="B1" s="59" t="s">
        <v>1</v>
      </c>
      <c r="C1" s="19"/>
      <c r="D1" s="4"/>
      <c r="F1" s="608" t="s">
        <v>177</v>
      </c>
      <c r="G1" s="609"/>
      <c r="H1" s="609"/>
      <c r="I1" s="610"/>
      <c r="M1" s="9" t="s">
        <v>121</v>
      </c>
      <c r="N1" s="10"/>
    </row>
    <row r="2" spans="1:16" ht="14.4">
      <c r="A2" s="6" t="s">
        <v>152</v>
      </c>
      <c r="B2" s="338" t="s">
        <v>446</v>
      </c>
      <c r="C2" s="339">
        <f>Hinweise!I1</f>
        <v>45989</v>
      </c>
      <c r="F2" s="77" t="s">
        <v>142</v>
      </c>
      <c r="G2" s="611" t="s">
        <v>188</v>
      </c>
      <c r="H2" s="611"/>
      <c r="I2" s="612"/>
      <c r="M2" s="11" t="s">
        <v>122</v>
      </c>
      <c r="N2" s="12">
        <v>0.05</v>
      </c>
      <c r="O2"/>
      <c r="P2"/>
    </row>
    <row r="3" spans="1:16" ht="15" thickBot="1">
      <c r="A3" s="26" t="s">
        <v>11</v>
      </c>
      <c r="B3" s="27">
        <v>46023</v>
      </c>
      <c r="C3" s="22" t="s">
        <v>678</v>
      </c>
      <c r="E3" s="22">
        <v>0</v>
      </c>
      <c r="F3" s="71" t="s">
        <v>221</v>
      </c>
      <c r="G3" s="79">
        <f>B7</f>
        <v>144</v>
      </c>
      <c r="H3" s="78" t="s">
        <v>172</v>
      </c>
      <c r="I3" s="80">
        <v>500</v>
      </c>
      <c r="M3" s="13" t="s">
        <v>123</v>
      </c>
      <c r="N3" s="14">
        <v>3.5000000000000003E-2</v>
      </c>
      <c r="O3"/>
      <c r="P3"/>
    </row>
    <row r="4" spans="1:16" ht="14.4">
      <c r="A4" s="28" t="s">
        <v>13</v>
      </c>
      <c r="B4" s="29">
        <f>Grundstück+Gebäude</f>
        <v>1000000</v>
      </c>
      <c r="C4" s="22" t="str">
        <f>IF(C5+C6&lt;&gt;1," Check Anteile!","")</f>
        <v/>
      </c>
      <c r="M4" s="13" t="s">
        <v>124</v>
      </c>
      <c r="N4" s="14">
        <v>0.06</v>
      </c>
      <c r="O4"/>
      <c r="P4"/>
    </row>
    <row r="5" spans="1:16" ht="14.4">
      <c r="A5" s="26" t="s">
        <v>14</v>
      </c>
      <c r="B5" s="30">
        <v>200000</v>
      </c>
      <c r="C5" s="34">
        <f>Grundstück/B4</f>
        <v>0.2</v>
      </c>
      <c r="D5" s="3" t="s">
        <v>156</v>
      </c>
      <c r="E5" s="5"/>
      <c r="H5" s="93">
        <f>Grundstück/I3</f>
        <v>400</v>
      </c>
      <c r="I5" s="94" t="s">
        <v>178</v>
      </c>
      <c r="J5" s="97" t="s">
        <v>218</v>
      </c>
      <c r="M5" s="13" t="s">
        <v>125</v>
      </c>
      <c r="N5" s="14">
        <v>6.5000000000000002E-2</v>
      </c>
      <c r="O5"/>
      <c r="P5"/>
    </row>
    <row r="6" spans="1:16" ht="14.4">
      <c r="A6" s="26" t="s">
        <v>15</v>
      </c>
      <c r="B6" s="30">
        <v>800000</v>
      </c>
      <c r="C6" s="34">
        <f>Gebäude/B4</f>
        <v>0.8</v>
      </c>
      <c r="D6" s="3" t="s">
        <v>388</v>
      </c>
      <c r="M6" s="13" t="s">
        <v>126</v>
      </c>
      <c r="N6" s="14">
        <v>0.05</v>
      </c>
      <c r="O6" s="329"/>
      <c r="P6" s="329"/>
    </row>
    <row r="7" spans="1:16" ht="14.4">
      <c r="A7" s="26" t="s">
        <v>224</v>
      </c>
      <c r="B7" s="58">
        <v>144</v>
      </c>
      <c r="C7" s="35">
        <f>B4/B7</f>
        <v>6944.4444444444443</v>
      </c>
      <c r="D7" s="3" t="s">
        <v>225</v>
      </c>
      <c r="M7" s="13" t="s">
        <v>127</v>
      </c>
      <c r="N7" s="14">
        <v>4.4999999999999998E-2</v>
      </c>
      <c r="O7" s="329"/>
      <c r="P7" s="329"/>
    </row>
    <row r="8" spans="1:16" ht="14.4">
      <c r="A8" s="26" t="s">
        <v>16</v>
      </c>
      <c r="B8" s="31">
        <f>(Gebäude+Grundstück)*C8</f>
        <v>50000</v>
      </c>
      <c r="C8" s="36">
        <v>0.05</v>
      </c>
      <c r="D8" s="3" t="s">
        <v>17</v>
      </c>
      <c r="M8" s="13" t="s">
        <v>128</v>
      </c>
      <c r="N8" s="14">
        <v>0.06</v>
      </c>
      <c r="O8" s="329"/>
      <c r="P8" s="329"/>
    </row>
    <row r="9" spans="1:16" ht="14.4">
      <c r="A9" s="26" t="s">
        <v>18</v>
      </c>
      <c r="B9" s="31">
        <f>(Gebäude+Grundstück)*C9</f>
        <v>35699.999999999993</v>
      </c>
      <c r="C9" s="36">
        <f>1.19*3%</f>
        <v>3.5699999999999996E-2</v>
      </c>
      <c r="D9" s="3" t="s">
        <v>194</v>
      </c>
      <c r="M9" s="13" t="s">
        <v>129</v>
      </c>
      <c r="N9" s="14">
        <v>0.05</v>
      </c>
      <c r="O9" s="329"/>
      <c r="P9" s="329"/>
    </row>
    <row r="10" spans="1:16" ht="14.4">
      <c r="A10" s="26" t="s">
        <v>120</v>
      </c>
      <c r="B10" s="31">
        <f>(Gebäude+Grundstück)*C10</f>
        <v>5000</v>
      </c>
      <c r="C10" s="37">
        <v>5.0000000000000001E-3</v>
      </c>
      <c r="D10" s="3" t="s">
        <v>219</v>
      </c>
      <c r="F10" s="8"/>
      <c r="M10" s="13" t="s">
        <v>130</v>
      </c>
      <c r="N10" s="14">
        <v>0.05</v>
      </c>
      <c r="O10" s="329"/>
      <c r="P10" s="329"/>
    </row>
    <row r="11" spans="1:16" ht="14.4">
      <c r="A11" s="26" t="s">
        <v>19</v>
      </c>
      <c r="B11" s="31">
        <f>(Gebäude+Grundstück)*C11</f>
        <v>15000</v>
      </c>
      <c r="C11" s="36">
        <v>1.4999999999999999E-2</v>
      </c>
      <c r="D11" s="3" t="s">
        <v>183</v>
      </c>
      <c r="M11" s="13" t="s">
        <v>131</v>
      </c>
      <c r="N11" s="14">
        <v>6.5000000000000002E-2</v>
      </c>
      <c r="O11" s="329"/>
      <c r="P11" s="329"/>
    </row>
    <row r="12" spans="1:16" ht="14.4">
      <c r="A12" s="327" t="s">
        <v>420</v>
      </c>
      <c r="B12" s="328">
        <v>0</v>
      </c>
      <c r="M12" s="13" t="s">
        <v>132</v>
      </c>
      <c r="N12" s="14">
        <v>0.05</v>
      </c>
      <c r="P12"/>
    </row>
    <row r="13" spans="1:16" ht="14.4">
      <c r="A13" s="32" t="s">
        <v>517</v>
      </c>
      <c r="B13" s="29">
        <f>SUM(B8:B12)</f>
        <v>105700</v>
      </c>
      <c r="C13" s="38">
        <f>SUM(C8:C11)</f>
        <v>0.1057</v>
      </c>
      <c r="M13" s="13" t="s">
        <v>133</v>
      </c>
      <c r="N13" s="14">
        <v>6.5000000000000002E-2</v>
      </c>
      <c r="O13"/>
      <c r="P13"/>
    </row>
    <row r="14" spans="1:16" ht="14.4">
      <c r="A14" s="26" t="s">
        <v>240</v>
      </c>
      <c r="B14" s="30">
        <v>40000</v>
      </c>
      <c r="C14" s="3" t="s">
        <v>238</v>
      </c>
      <c r="M14" s="13" t="s">
        <v>134</v>
      </c>
      <c r="N14" s="14">
        <v>3.5000000000000003E-2</v>
      </c>
      <c r="O14"/>
      <c r="P14"/>
    </row>
    <row r="15" spans="1:16" ht="14.4">
      <c r="A15" s="26" t="s">
        <v>235</v>
      </c>
      <c r="B15" s="30">
        <v>2500</v>
      </c>
      <c r="C15" s="3" t="s">
        <v>399</v>
      </c>
      <c r="M15" s="13" t="s">
        <v>135</v>
      </c>
      <c r="N15" s="14">
        <v>0.05</v>
      </c>
      <c r="O15"/>
      <c r="P15"/>
    </row>
    <row r="16" spans="1:16" ht="14.4">
      <c r="A16" s="28" t="s">
        <v>20</v>
      </c>
      <c r="B16" s="33">
        <f>Instanhaltungskosten_am_Anfang+FittingUp+B4+B13</f>
        <v>1148200</v>
      </c>
      <c r="C16" s="3" t="s">
        <v>180</v>
      </c>
      <c r="M16" s="13" t="s">
        <v>136</v>
      </c>
      <c r="N16" s="14">
        <v>6.5000000000000002E-2</v>
      </c>
      <c r="O16"/>
      <c r="P16"/>
    </row>
    <row r="17" spans="1:20" ht="15" thickBot="1">
      <c r="A17" s="6"/>
      <c r="M17" s="15" t="s">
        <v>137</v>
      </c>
      <c r="N17" s="16">
        <v>6.5000000000000002E-2</v>
      </c>
      <c r="O17"/>
      <c r="P17"/>
    </row>
    <row r="18" spans="1:20">
      <c r="A18" s="28" t="s">
        <v>367</v>
      </c>
      <c r="B18" s="95">
        <v>50</v>
      </c>
      <c r="C18" s="3" t="s">
        <v>144</v>
      </c>
      <c r="D18" s="334" t="s">
        <v>439</v>
      </c>
      <c r="N18"/>
      <c r="O18"/>
      <c r="P18"/>
    </row>
    <row r="19" spans="1:20" ht="14.4">
      <c r="A19" s="355" t="s">
        <v>440</v>
      </c>
      <c r="B19" s="354" t="s">
        <v>465</v>
      </c>
      <c r="C19" s="356" t="s">
        <v>620</v>
      </c>
      <c r="D19" s="335"/>
      <c r="E19" s="335"/>
      <c r="H19" s="336"/>
      <c r="L19" s="17"/>
      <c r="M19" s="17"/>
      <c r="N19"/>
      <c r="O19"/>
      <c r="P19"/>
    </row>
    <row r="20" spans="1:20" ht="14.4">
      <c r="A20" s="26" t="s">
        <v>360</v>
      </c>
      <c r="B20" s="30">
        <f>Gebäude+FittingUp+B13*C6</f>
        <v>924560</v>
      </c>
      <c r="C20" s="6" t="s">
        <v>361</v>
      </c>
      <c r="L20" s="17"/>
      <c r="M20"/>
      <c r="N20"/>
      <c r="O20"/>
      <c r="P20"/>
    </row>
    <row r="21" spans="1:20" ht="14.4">
      <c r="A21" s="26"/>
      <c r="B21" s="26"/>
      <c r="C21" s="6"/>
      <c r="L21" s="17"/>
      <c r="M21"/>
      <c r="N21"/>
      <c r="O21"/>
      <c r="P21"/>
    </row>
    <row r="22" spans="1:20" ht="14.4">
      <c r="A22" s="28" t="s">
        <v>516</v>
      </c>
      <c r="B22" s="6"/>
      <c r="C22" s="6"/>
      <c r="L22" s="17"/>
      <c r="M22"/>
      <c r="N22"/>
      <c r="O22"/>
      <c r="P22"/>
    </row>
    <row r="23" spans="1:20" ht="14.4" thickBot="1">
      <c r="A23" s="26" t="s">
        <v>26</v>
      </c>
      <c r="B23" s="37">
        <v>0.01</v>
      </c>
      <c r="C23" s="3" t="s">
        <v>205</v>
      </c>
      <c r="O23"/>
      <c r="P23"/>
    </row>
    <row r="24" spans="1:20">
      <c r="A24" s="26" t="s">
        <v>385</v>
      </c>
      <c r="B24" s="37">
        <v>0.01</v>
      </c>
      <c r="C24" s="3" t="s">
        <v>203</v>
      </c>
      <c r="L24" s="98" t="s">
        <v>274</v>
      </c>
      <c r="M24" s="98" t="s">
        <v>192</v>
      </c>
      <c r="N24" s="99" t="s">
        <v>390</v>
      </c>
      <c r="O24"/>
      <c r="P24"/>
      <c r="T24"/>
    </row>
    <row r="25" spans="1:20">
      <c r="A25" s="26" t="s">
        <v>204</v>
      </c>
      <c r="B25" s="37">
        <v>1.4999999999999999E-2</v>
      </c>
      <c r="C25" s="3" t="s">
        <v>203</v>
      </c>
      <c r="L25" s="100" t="s">
        <v>189</v>
      </c>
      <c r="M25" s="108">
        <v>4.3749999999999983E-2</v>
      </c>
      <c r="N25" s="101" t="s">
        <v>193</v>
      </c>
      <c r="O25"/>
      <c r="P25"/>
    </row>
    <row r="26" spans="1:20">
      <c r="L26" s="100"/>
      <c r="M26" s="108"/>
      <c r="N26" s="101"/>
      <c r="O26"/>
      <c r="P26"/>
    </row>
    <row r="27" spans="1:20">
      <c r="A27" s="4" t="s">
        <v>497</v>
      </c>
      <c r="B27" s="4"/>
      <c r="C27" s="4"/>
      <c r="D27" s="4"/>
      <c r="E27" s="4"/>
      <c r="F27" s="4"/>
      <c r="G27" s="4"/>
      <c r="L27" s="100" t="s">
        <v>190</v>
      </c>
      <c r="M27" s="109">
        <v>3.5699999999999996E-2</v>
      </c>
      <c r="N27" s="101"/>
      <c r="O27"/>
      <c r="P27"/>
    </row>
    <row r="28" spans="1:20">
      <c r="L28" s="100" t="s">
        <v>123</v>
      </c>
      <c r="M28" s="109">
        <v>3.5699999999999996E-2</v>
      </c>
      <c r="N28" s="101"/>
    </row>
    <row r="29" spans="1:20" ht="18.600000000000001" customHeight="1">
      <c r="A29" s="18" t="s">
        <v>243</v>
      </c>
      <c r="C29" s="3" t="s">
        <v>253</v>
      </c>
      <c r="L29" s="100" t="s">
        <v>125</v>
      </c>
      <c r="M29" s="109">
        <v>7.1399999999999991E-2</v>
      </c>
      <c r="N29" s="101"/>
      <c r="O29" s="600" t="s">
        <v>168</v>
      </c>
      <c r="P29" s="601"/>
      <c r="Q29" s="601"/>
      <c r="R29" s="329"/>
    </row>
    <row r="30" spans="1:20">
      <c r="A30" s="26" t="s">
        <v>242</v>
      </c>
      <c r="B30" s="115">
        <v>480</v>
      </c>
      <c r="C30" s="18" t="s">
        <v>241</v>
      </c>
      <c r="L30" s="100" t="s">
        <v>128</v>
      </c>
      <c r="M30" s="109">
        <v>5.9500000000000004E-2</v>
      </c>
      <c r="N30" s="101"/>
      <c r="O30" s="600"/>
      <c r="P30" s="601"/>
      <c r="Q30" s="601"/>
      <c r="R30" s="329"/>
    </row>
    <row r="31" spans="1:20">
      <c r="A31" s="26" t="s">
        <v>237</v>
      </c>
      <c r="B31" s="40">
        <f>B7*C31</f>
        <v>864</v>
      </c>
      <c r="C31" s="49">
        <v>6</v>
      </c>
      <c r="D31" s="18" t="s">
        <v>392</v>
      </c>
      <c r="L31" s="100" t="s">
        <v>129</v>
      </c>
      <c r="M31" s="109">
        <v>3.5699999999999996E-2</v>
      </c>
      <c r="N31" s="101"/>
      <c r="O31" s="600"/>
      <c r="P31" s="601"/>
      <c r="Q31" s="601"/>
      <c r="R31" s="329"/>
    </row>
    <row r="32" spans="1:20">
      <c r="A32" s="26" t="s">
        <v>236</v>
      </c>
      <c r="B32" s="40">
        <f>B7*C32</f>
        <v>720</v>
      </c>
      <c r="C32" s="49">
        <v>5</v>
      </c>
      <c r="D32" s="18" t="s">
        <v>392</v>
      </c>
      <c r="L32" s="100" t="s">
        <v>130</v>
      </c>
      <c r="M32" s="109">
        <v>0.05</v>
      </c>
      <c r="N32" s="101" t="s">
        <v>191</v>
      </c>
      <c r="O32" s="600"/>
      <c r="P32" s="601"/>
      <c r="Q32" s="601"/>
      <c r="R32" s="329"/>
    </row>
    <row r="33" spans="1:18" ht="27.6">
      <c r="A33" s="41" t="s">
        <v>226</v>
      </c>
      <c r="B33" s="40">
        <f>SUM(B30:B32)</f>
        <v>2064</v>
      </c>
      <c r="C33" s="114">
        <f>Unterhaltskosten_p.a./B7</f>
        <v>14.333333333333334</v>
      </c>
      <c r="D33" s="18" t="s">
        <v>391</v>
      </c>
      <c r="L33" s="100" t="s">
        <v>131</v>
      </c>
      <c r="M33" s="109">
        <v>3.5699999999999996E-2</v>
      </c>
      <c r="N33" s="101"/>
      <c r="O33" s="600"/>
      <c r="P33" s="601"/>
      <c r="Q33" s="601"/>
      <c r="R33" s="329"/>
    </row>
    <row r="34" spans="1:18">
      <c r="A34" s="26" t="s">
        <v>157</v>
      </c>
      <c r="B34" s="37">
        <v>1.2500000000000001E-2</v>
      </c>
      <c r="C34" s="18" t="s">
        <v>181</v>
      </c>
      <c r="L34" s="100" t="s">
        <v>132</v>
      </c>
      <c r="M34" s="109">
        <v>3.5699999999999996E-2</v>
      </c>
      <c r="N34" s="101"/>
      <c r="O34" s="600"/>
      <c r="P34" s="601"/>
      <c r="Q34" s="601"/>
      <c r="R34" s="329"/>
    </row>
    <row r="35" spans="1:18">
      <c r="L35" s="100" t="s">
        <v>133</v>
      </c>
      <c r="M35" s="109">
        <v>3.5699999999999996E-2</v>
      </c>
      <c r="N35" s="101"/>
      <c r="P35" s="274" t="s">
        <v>272</v>
      </c>
    </row>
    <row r="36" spans="1:18">
      <c r="B36" s="21"/>
      <c r="L36" s="100" t="s">
        <v>135</v>
      </c>
      <c r="M36" s="109">
        <v>3.5699999999999996E-2</v>
      </c>
      <c r="N36" s="101"/>
      <c r="P36" s="7" t="s">
        <v>273</v>
      </c>
    </row>
    <row r="37" spans="1:18">
      <c r="A37" s="26" t="s">
        <v>21</v>
      </c>
      <c r="B37" s="30">
        <v>2000</v>
      </c>
      <c r="C37" s="50">
        <f>B37/B7</f>
        <v>13.888888888888889</v>
      </c>
      <c r="D37" s="3" t="s">
        <v>239</v>
      </c>
      <c r="L37" s="100" t="s">
        <v>134</v>
      </c>
      <c r="M37" s="109">
        <v>3.5699999999999996E-2</v>
      </c>
      <c r="N37" s="101"/>
    </row>
    <row r="38" spans="1:18">
      <c r="A38" s="28" t="s">
        <v>22</v>
      </c>
      <c r="B38" s="29">
        <f>B37*12</f>
        <v>24000</v>
      </c>
      <c r="L38" s="100" t="s">
        <v>136</v>
      </c>
      <c r="M38" s="109">
        <v>3.5699999999999996E-2</v>
      </c>
      <c r="N38" s="101"/>
    </row>
    <row r="39" spans="1:18">
      <c r="A39" s="26" t="s">
        <v>141</v>
      </c>
      <c r="B39" s="37">
        <v>0.02</v>
      </c>
      <c r="C39" s="26" t="s">
        <v>153</v>
      </c>
      <c r="D39" s="3" t="s">
        <v>138</v>
      </c>
      <c r="L39" s="100" t="s">
        <v>137</v>
      </c>
      <c r="M39" s="109">
        <v>3.5699999999999996E-2</v>
      </c>
      <c r="N39" s="101"/>
    </row>
    <row r="40" spans="1:18">
      <c r="A40" s="32" t="s">
        <v>140</v>
      </c>
      <c r="B40" s="29">
        <f>B38*(1-B39)</f>
        <v>23520</v>
      </c>
      <c r="C40" s="3" t="s">
        <v>173</v>
      </c>
      <c r="L40" s="100" t="s">
        <v>124</v>
      </c>
      <c r="M40" s="109">
        <v>7.1399999999999991E-2</v>
      </c>
      <c r="N40" s="101"/>
    </row>
    <row r="41" spans="1:18">
      <c r="A41" s="26" t="s">
        <v>232</v>
      </c>
      <c r="B41" s="38">
        <f>B40/B16</f>
        <v>2.0484236195784707E-2</v>
      </c>
      <c r="C41" s="3" t="s">
        <v>233</v>
      </c>
      <c r="L41" s="100" t="s">
        <v>126</v>
      </c>
      <c r="M41" s="109">
        <v>5.9500000000000004E-2</v>
      </c>
      <c r="N41" s="101"/>
    </row>
    <row r="42" spans="1:18" ht="15" customHeight="1" thickBot="1">
      <c r="A42" s="26" t="s">
        <v>234</v>
      </c>
      <c r="B42" s="113">
        <f>B16/B40</f>
        <v>48.818027210884352</v>
      </c>
      <c r="C42" s="3" t="str">
        <f>" Investitionsvolumen entspricht dem "&amp;ROUND(B42,1)&amp;" fachen einer nachh. Jahresmiete"</f>
        <v xml:space="preserve"> Investitionsvolumen entspricht dem 48,8 fachen einer nachh. Jahresmiete</v>
      </c>
      <c r="L42" s="102" t="s">
        <v>127</v>
      </c>
      <c r="M42" s="110">
        <v>3.1200000000000002E-2</v>
      </c>
      <c r="N42" s="103"/>
    </row>
    <row r="43" spans="1:18">
      <c r="A43" s="26" t="s">
        <v>23</v>
      </c>
      <c r="B43" s="27">
        <f>B3</f>
        <v>46023</v>
      </c>
      <c r="C43" s="20" t="s">
        <v>12</v>
      </c>
      <c r="D43" s="22">
        <v>1</v>
      </c>
    </row>
    <row r="44" spans="1:18" ht="15.6" customHeight="1">
      <c r="A44" s="26" t="s">
        <v>24</v>
      </c>
      <c r="B44" s="37">
        <v>1.2500000000000001E-2</v>
      </c>
      <c r="C44" s="18" t="s">
        <v>220</v>
      </c>
    </row>
    <row r="46" spans="1:18" ht="25.2" customHeight="1">
      <c r="B46" s="23"/>
    </row>
    <row r="47" spans="1:18" ht="49.8" customHeight="1">
      <c r="A47" s="81" t="s">
        <v>27</v>
      </c>
      <c r="B47" s="82">
        <v>0.42</v>
      </c>
      <c r="C47" s="602" t="s">
        <v>504</v>
      </c>
      <c r="D47" s="603"/>
      <c r="E47" s="603"/>
      <c r="F47" s="603"/>
      <c r="G47" s="603"/>
      <c r="H47" s="603"/>
      <c r="I47" s="603"/>
    </row>
    <row r="48" spans="1:18">
      <c r="C48" s="3" t="s">
        <v>35</v>
      </c>
    </row>
    <row r="49" spans="1:16">
      <c r="A49" s="7"/>
      <c r="B49" s="7"/>
      <c r="C49" s="7"/>
    </row>
    <row r="50" spans="1:16" ht="18" customHeight="1">
      <c r="A50" s="606" t="s">
        <v>579</v>
      </c>
      <c r="B50" s="607"/>
      <c r="F50" s="452" t="s">
        <v>621</v>
      </c>
    </row>
    <row r="51" spans="1:16" ht="18" customHeight="1">
      <c r="A51" s="26" t="s">
        <v>28</v>
      </c>
      <c r="B51" s="30">
        <v>100000</v>
      </c>
      <c r="F51" s="452" t="s">
        <v>622</v>
      </c>
    </row>
    <row r="52" spans="1:16" ht="13.8" customHeight="1" thickBot="1">
      <c r="A52" s="26" t="s">
        <v>29</v>
      </c>
      <c r="B52" s="30">
        <f>B16</f>
        <v>1148200</v>
      </c>
      <c r="K52" s="3"/>
    </row>
    <row r="53" spans="1:16" ht="25.8" customHeight="1">
      <c r="A53" s="43" t="s">
        <v>30</v>
      </c>
      <c r="B53" s="273">
        <f>B52-B51</f>
        <v>1048200</v>
      </c>
      <c r="C53" s="616" t="s">
        <v>566</v>
      </c>
      <c r="D53" s="617"/>
      <c r="E53" s="617"/>
      <c r="F53" s="613" t="s">
        <v>561</v>
      </c>
      <c r="G53" s="614"/>
      <c r="H53" s="614"/>
      <c r="I53" s="615"/>
      <c r="K53" s="453" t="s">
        <v>701</v>
      </c>
      <c r="L53" s="454"/>
      <c r="M53" s="454"/>
      <c r="N53" s="454"/>
      <c r="O53" s="454"/>
      <c r="P53" s="455"/>
    </row>
    <row r="54" spans="1:16" ht="16.2">
      <c r="A54" s="43" t="s">
        <v>31</v>
      </c>
      <c r="B54" s="492">
        <v>25</v>
      </c>
      <c r="C54" s="6" t="s">
        <v>144</v>
      </c>
      <c r="D54" s="400" t="str">
        <f>IF(Lebensdauer&lt;FinZeitraum,"ACHTUNG: Finanzierungszeitraum sollte die Restnutzungsdauer nicht übersteigen!","")</f>
        <v/>
      </c>
      <c r="F54" s="620" t="s">
        <v>580</v>
      </c>
      <c r="G54" s="621"/>
      <c r="H54" s="621"/>
      <c r="I54" s="622"/>
      <c r="K54" s="456" t="s">
        <v>702</v>
      </c>
      <c r="L54" s="457"/>
      <c r="M54" s="457"/>
      <c r="N54" s="457"/>
      <c r="O54" s="457"/>
      <c r="P54" s="458"/>
    </row>
    <row r="55" spans="1:16" ht="16.2">
      <c r="A55" s="3" t="s">
        <v>534</v>
      </c>
      <c r="B55" s="494">
        <f>'Cash &amp; Assets'!T8</f>
        <v>3.3461892887541839E-2</v>
      </c>
      <c r="F55" s="438" t="s">
        <v>567</v>
      </c>
      <c r="G55" s="421"/>
      <c r="H55" s="422"/>
      <c r="I55" s="572" t="s">
        <v>700</v>
      </c>
      <c r="K55" s="456" t="s">
        <v>703</v>
      </c>
      <c r="L55" s="457"/>
      <c r="M55" s="457"/>
      <c r="N55" s="457"/>
      <c r="O55" s="457"/>
      <c r="P55" s="458"/>
    </row>
    <row r="56" spans="1:16" ht="27.6" customHeight="1">
      <c r="A56" s="43" t="s">
        <v>32</v>
      </c>
      <c r="B56" s="493" t="s">
        <v>154</v>
      </c>
      <c r="F56" s="438" t="s">
        <v>563</v>
      </c>
      <c r="G56" s="421"/>
      <c r="H56" s="422"/>
      <c r="I56" s="573">
        <v>50000</v>
      </c>
      <c r="K56" s="623" t="s">
        <v>704</v>
      </c>
      <c r="L56" s="624"/>
      <c r="M56" s="624"/>
      <c r="N56" s="624"/>
      <c r="O56" s="624"/>
      <c r="P56" s="625"/>
    </row>
    <row r="57" spans="1:16" ht="13.8" customHeight="1">
      <c r="A57" s="26" t="s">
        <v>146</v>
      </c>
      <c r="B57" s="330">
        <v>10</v>
      </c>
      <c r="F57" s="439" t="s">
        <v>697</v>
      </c>
      <c r="G57" s="419"/>
      <c r="H57" s="420"/>
      <c r="I57" s="574">
        <v>8</v>
      </c>
      <c r="J57" s="3"/>
      <c r="K57" s="457" t="s">
        <v>631</v>
      </c>
      <c r="L57" s="457"/>
      <c r="M57" s="457"/>
      <c r="N57" s="457"/>
    </row>
    <row r="58" spans="1:16">
      <c r="A58" s="26" t="s">
        <v>155</v>
      </c>
      <c r="B58" s="26">
        <f>YEAR(Startjahr)+I57</f>
        <v>2034</v>
      </c>
      <c r="D58" s="502" t="s">
        <v>630</v>
      </c>
      <c r="F58" s="440" t="s">
        <v>568</v>
      </c>
      <c r="G58" s="419"/>
      <c r="H58" s="420"/>
      <c r="I58" s="441">
        <f>IFERROR(YEAR(Startjahr)+Förderzeit,"")</f>
        <v>2034</v>
      </c>
      <c r="K58" s="457" t="s">
        <v>628</v>
      </c>
      <c r="L58" s="457"/>
      <c r="M58" s="457"/>
      <c r="N58" s="457"/>
    </row>
    <row r="59" spans="1:16" ht="27.6" customHeight="1">
      <c r="A59" s="32" t="s">
        <v>617</v>
      </c>
      <c r="B59" s="430">
        <f>Finanzbedarf-Förderkredit</f>
        <v>998200</v>
      </c>
      <c r="C59" s="618" t="s">
        <v>618</v>
      </c>
      <c r="D59" s="619"/>
      <c r="E59" s="619"/>
      <c r="F59" s="500" t="s">
        <v>562</v>
      </c>
      <c r="G59" s="501"/>
      <c r="H59" s="499"/>
      <c r="I59" s="575">
        <f>I56</f>
        <v>50000</v>
      </c>
      <c r="K59" s="468" t="s">
        <v>623</v>
      </c>
      <c r="L59" s="469"/>
      <c r="M59" s="469"/>
      <c r="N59" s="469"/>
      <c r="O59" s="469"/>
    </row>
    <row r="60" spans="1:16" ht="16.2">
      <c r="A60" s="26" t="s">
        <v>33</v>
      </c>
      <c r="B60" s="44">
        <f>1-B61</f>
        <v>1</v>
      </c>
      <c r="F60" s="442" t="s">
        <v>33</v>
      </c>
      <c r="G60" s="423"/>
      <c r="H60" s="420"/>
      <c r="I60" s="443">
        <v>1</v>
      </c>
      <c r="K60" s="468" t="s">
        <v>624</v>
      </c>
      <c r="L60" s="469"/>
      <c r="M60" s="469"/>
      <c r="N60" s="469"/>
      <c r="O60" s="469"/>
    </row>
    <row r="61" spans="1:16">
      <c r="A61" s="26" t="s">
        <v>34</v>
      </c>
      <c r="B61" s="37">
        <v>0</v>
      </c>
      <c r="F61" s="444" t="s">
        <v>581</v>
      </c>
      <c r="G61" s="426"/>
      <c r="H61" s="422"/>
      <c r="I61" s="571">
        <v>1500</v>
      </c>
      <c r="K61" s="7" t="s">
        <v>696</v>
      </c>
    </row>
    <row r="62" spans="1:16">
      <c r="A62" s="26" t="s">
        <v>36</v>
      </c>
      <c r="B62" s="42">
        <f>AuszahungKredit1-Kreditbedarf</f>
        <v>0</v>
      </c>
      <c r="F62" s="444" t="s">
        <v>619</v>
      </c>
      <c r="G62" s="426"/>
      <c r="H62" s="422"/>
      <c r="I62" s="576">
        <v>5</v>
      </c>
      <c r="J62" s="3"/>
      <c r="K62" s="7" t="s">
        <v>699</v>
      </c>
    </row>
    <row r="63" spans="1:16">
      <c r="A63" s="26" t="s">
        <v>37</v>
      </c>
      <c r="B63" s="39">
        <f>B59/B60</f>
        <v>998200</v>
      </c>
      <c r="F63" s="444" t="s">
        <v>582</v>
      </c>
      <c r="G63" s="426"/>
      <c r="H63" s="422"/>
      <c r="I63" s="445">
        <f>IF(AND(ISNUMBER(Tilgungszuschuss),ISNUMBER(Anzahl_Tilgungszuschüsse)),I62*I61,0)</f>
        <v>7500</v>
      </c>
      <c r="K63" s="3"/>
    </row>
    <row r="64" spans="1:16">
      <c r="A64" s="26" t="s">
        <v>38</v>
      </c>
      <c r="B64" s="45">
        <v>2.8500000000000001E-2</v>
      </c>
      <c r="F64" s="444" t="s">
        <v>38</v>
      </c>
      <c r="G64" s="426"/>
      <c r="H64" s="422"/>
      <c r="I64" s="577">
        <v>2.8500000000000001E-2</v>
      </c>
      <c r="K64" s="7" t="s">
        <v>694</v>
      </c>
    </row>
    <row r="65" spans="1:17">
      <c r="A65" s="26" t="s">
        <v>158</v>
      </c>
      <c r="B65" s="44">
        <f>EFFECT(Kreditzins1,12)</f>
        <v>2.8875244285817558E-2</v>
      </c>
      <c r="C65" s="3" t="s">
        <v>40</v>
      </c>
      <c r="E65" s="24"/>
      <c r="F65" s="446" t="s">
        <v>158</v>
      </c>
      <c r="G65" s="424"/>
      <c r="H65" s="425"/>
      <c r="I65" s="443">
        <f>EFFECT(Förderzins,12)</f>
        <v>2.8875244285817558E-2</v>
      </c>
      <c r="K65" s="3" t="s">
        <v>40</v>
      </c>
    </row>
    <row r="66" spans="1:17">
      <c r="A66" s="26" t="s">
        <v>149</v>
      </c>
      <c r="B66" s="46">
        <f>-PMT(Kreditzins1,FinZeitraum,AuszahungKredit1,0,0)</f>
        <v>56370.63685151816</v>
      </c>
      <c r="F66" s="440" t="s">
        <v>564</v>
      </c>
      <c r="G66" s="26"/>
      <c r="H66" s="420"/>
      <c r="I66" s="451">
        <f>IF(ISNUMBER(Förderzeit),-PMT(Förderzins,Förderzeit,Förderkredit,0,0),0)</f>
        <v>7077.8192732031939</v>
      </c>
      <c r="J66" s="348"/>
      <c r="K66" s="7" t="s">
        <v>698</v>
      </c>
    </row>
    <row r="67" spans="1:17" ht="14.4" thickBot="1">
      <c r="A67" s="26" t="s">
        <v>150</v>
      </c>
      <c r="B67" s="39">
        <f>B66/12</f>
        <v>4697.553070959847</v>
      </c>
      <c r="F67" s="447" t="s">
        <v>565</v>
      </c>
      <c r="G67" s="448"/>
      <c r="H67" s="449"/>
      <c r="I67" s="450">
        <f>I66/12</f>
        <v>589.81827276693286</v>
      </c>
      <c r="K67" s="3"/>
    </row>
    <row r="68" spans="1:17">
      <c r="B68" s="24"/>
      <c r="F68" s="7"/>
      <c r="G68" s="7"/>
      <c r="K68" s="3"/>
    </row>
    <row r="69" spans="1:17">
      <c r="A69" s="47" t="s">
        <v>41</v>
      </c>
      <c r="B69" s="48" t="s">
        <v>151</v>
      </c>
      <c r="C69" s="20" t="s">
        <v>358</v>
      </c>
      <c r="D69" s="3">
        <f>LaufzeitKredit1+1</f>
        <v>11</v>
      </c>
      <c r="E69" s="25" t="s">
        <v>43</v>
      </c>
      <c r="F69" s="7"/>
      <c r="G69" s="7"/>
      <c r="K69" s="3"/>
    </row>
    <row r="70" spans="1:17">
      <c r="A70" s="26" t="s">
        <v>42</v>
      </c>
      <c r="B70" s="46">
        <f>_xlfn.XLOOKUP(BeginnFolgeKredit,'Cash &amp; Assets'!A8:A38,'Cash &amp; Assets'!D8:D38,0,0,1)</f>
        <v>680308.7046370561</v>
      </c>
      <c r="F70" s="461"/>
      <c r="G70" s="7"/>
      <c r="K70" s="20"/>
    </row>
    <row r="71" spans="1:17" ht="12" customHeight="1">
      <c r="A71" s="26" t="s">
        <v>38</v>
      </c>
      <c r="B71" s="45">
        <v>3.2500000000000001E-2</v>
      </c>
      <c r="C71" s="18" t="s">
        <v>182</v>
      </c>
      <c r="K71" s="3"/>
    </row>
    <row r="72" spans="1:17">
      <c r="A72" s="26" t="s">
        <v>39</v>
      </c>
      <c r="B72" s="44">
        <f>EFFECT(Kreditzins2,12)</f>
        <v>3.2988511810589927E-2</v>
      </c>
      <c r="C72" s="3" t="s">
        <v>40</v>
      </c>
      <c r="K72" s="18"/>
    </row>
    <row r="73" spans="1:17">
      <c r="A73" s="26" t="s">
        <v>145</v>
      </c>
      <c r="B73" s="32">
        <f>B54-B57</f>
        <v>15</v>
      </c>
      <c r="K73" s="3"/>
      <c r="Q73" s="3"/>
    </row>
    <row r="74" spans="1:17">
      <c r="A74" s="26" t="s">
        <v>44</v>
      </c>
      <c r="B74" s="26">
        <f>B58+Restlaufzeit</f>
        <v>2049</v>
      </c>
      <c r="Q74" s="3"/>
    </row>
    <row r="75" spans="1:17">
      <c r="A75" s="26" t="s">
        <v>147</v>
      </c>
      <c r="B75" s="46">
        <f>-PMT(Kreditzins2,Restlaufzeit,Anschlusskredit,0,0)</f>
        <v>58022.563180074467</v>
      </c>
      <c r="D75" s="25"/>
      <c r="Q75" s="3"/>
    </row>
    <row r="76" spans="1:17">
      <c r="A76" s="26" t="s">
        <v>148</v>
      </c>
      <c r="B76" s="39">
        <f>B75/12</f>
        <v>4835.2135983395392</v>
      </c>
      <c r="Q76" s="3"/>
    </row>
    <row r="77" spans="1:17" ht="14.4" customHeight="1">
      <c r="B77" s="21"/>
      <c r="Q77" s="3"/>
    </row>
    <row r="78" spans="1:17" ht="14.4" customHeight="1">
      <c r="A78" s="606" t="s">
        <v>408</v>
      </c>
      <c r="B78" s="607"/>
      <c r="Q78" s="3"/>
    </row>
    <row r="79" spans="1:17">
      <c r="A79" s="3" t="s">
        <v>520</v>
      </c>
      <c r="B79" s="382">
        <v>7.1999999999999995E-2</v>
      </c>
      <c r="C79" s="3" t="s">
        <v>535</v>
      </c>
    </row>
    <row r="80" spans="1:17">
      <c r="A80" s="384" t="s">
        <v>519</v>
      </c>
      <c r="B80" s="304">
        <f>Grenzsteuersatz</f>
        <v>0.42</v>
      </c>
    </row>
    <row r="81" spans="1:19" ht="27.6">
      <c r="A81" s="383" t="s">
        <v>409</v>
      </c>
      <c r="B81" s="381">
        <f>B79*(1-B80)</f>
        <v>4.1759999999999999E-2</v>
      </c>
      <c r="C81" s="604" t="s">
        <v>518</v>
      </c>
      <c r="D81" s="605"/>
      <c r="E81" s="605"/>
      <c r="F81" s="605"/>
      <c r="G81" s="605"/>
    </row>
    <row r="82" spans="1:19" ht="14.4">
      <c r="C82" s="178"/>
    </row>
    <row r="83" spans="1:19" ht="14.4">
      <c r="C83" s="178"/>
    </row>
    <row r="85" spans="1:19">
      <c r="A85" s="6" t="s">
        <v>45</v>
      </c>
    </row>
    <row r="86" spans="1:19">
      <c r="A86" s="3" t="s">
        <v>46</v>
      </c>
    </row>
    <row r="87" spans="1:19">
      <c r="A87" s="3" t="s">
        <v>47</v>
      </c>
    </row>
    <row r="88" spans="1:19" ht="16.2">
      <c r="A88" s="3" t="s">
        <v>139</v>
      </c>
      <c r="L88" s="53"/>
      <c r="M88" s="53"/>
      <c r="N88" s="53"/>
      <c r="O88" s="53"/>
      <c r="P88" s="53"/>
      <c r="Q88" s="53"/>
      <c r="R88" s="53"/>
      <c r="S88" s="53"/>
    </row>
    <row r="89" spans="1:19" s="53" customFormat="1" ht="20.7" customHeight="1">
      <c r="A89" s="3" t="s">
        <v>270</v>
      </c>
      <c r="B89" s="3"/>
      <c r="C89" s="3"/>
      <c r="D89" s="3"/>
      <c r="E89" s="3"/>
      <c r="F89" s="3"/>
      <c r="G89" s="3"/>
      <c r="H89" s="7"/>
      <c r="I89" s="7"/>
      <c r="J89" s="7"/>
      <c r="K89" s="7"/>
      <c r="L89" s="7"/>
      <c r="M89" s="7"/>
      <c r="N89" s="7"/>
      <c r="O89" s="7"/>
      <c r="P89" s="7"/>
      <c r="Q89" s="7"/>
      <c r="R89" s="7"/>
      <c r="S89" s="7"/>
    </row>
    <row r="90" spans="1:19">
      <c r="A90" s="3" t="s">
        <v>271</v>
      </c>
      <c r="K90" s="3"/>
    </row>
    <row r="92" spans="1:19">
      <c r="A92" s="22" t="s">
        <v>168</v>
      </c>
    </row>
    <row r="94" spans="1:19">
      <c r="J94" s="3"/>
    </row>
    <row r="95" spans="1:19" ht="16.2">
      <c r="A95" s="104" t="s">
        <v>9</v>
      </c>
      <c r="B95" s="105"/>
      <c r="H95" s="3"/>
    </row>
    <row r="96" spans="1:19">
      <c r="I96" s="3"/>
    </row>
    <row r="98" spans="1:1" ht="16.2">
      <c r="A98" s="122" t="s">
        <v>249</v>
      </c>
    </row>
    <row r="99" spans="1:1" ht="16.2">
      <c r="A99" s="57" t="s">
        <v>10</v>
      </c>
    </row>
    <row r="102" spans="1:1" ht="17.399999999999999">
      <c r="A102" s="503" t="s">
        <v>665</v>
      </c>
    </row>
    <row r="103" spans="1:1">
      <c r="A103" s="3" t="s">
        <v>666</v>
      </c>
    </row>
  </sheetData>
  <sheetProtection selectLockedCells="1" selectUnlockedCells="1"/>
  <sortState xmlns:xlrd2="http://schemas.microsoft.com/office/spreadsheetml/2017/richdata2" ref="X18:Y20">
    <sortCondition ref="X18:X20"/>
  </sortState>
  <mergeCells count="12">
    <mergeCell ref="O29:Q34"/>
    <mergeCell ref="C47:I47"/>
    <mergeCell ref="C81:G81"/>
    <mergeCell ref="A78:B78"/>
    <mergeCell ref="F1:I1"/>
    <mergeCell ref="G2:I2"/>
    <mergeCell ref="A50:B50"/>
    <mergeCell ref="F53:I53"/>
    <mergeCell ref="C53:E53"/>
    <mergeCell ref="C59:E59"/>
    <mergeCell ref="F54:I54"/>
    <mergeCell ref="K56:P56"/>
  </mergeCells>
  <dataValidations disablePrompts="1" count="5">
    <dataValidation allowBlank="1" showInputMessage="1" promptTitle="Grunderwerbsteuer" prompt="Hier kannst du bei Bedarf die Grunderwerbsteuer-Sätze für einzelne Bundesländer anpassen." sqref="M1" xr:uid="{00000000-0002-0000-0100-000000000000}"/>
    <dataValidation allowBlank="1" showInputMessage="1" promptTitle="Adresse" prompt="Diese Adresse hast du im roten Faden festgelegt. Kehre bitte dorthin zurück, um sie zu ändern." sqref="G2:I2" xr:uid="{00000000-0002-0000-0100-000001000000}"/>
    <dataValidation operator="greaterThan" showInputMessage="1" errorTitle="Wohnfläche" error="Bitte gib die Wohnfläche in m² als positive Zahl ein, bspw. 31." promptTitle="Wohnfläche" prompt="Diese Wohnfläche hast du im roten Faden festgelegt. Bitte kehre dorthin zurück, um sie zu ändern." sqref="G3 I3" xr:uid="{00000000-0002-0000-0100-000002000000}"/>
    <dataValidation allowBlank="1" showInputMessage="1" showErrorMessage="1" promptTitle="Objekt" prompt="Hier gibst du einige Basisdaten zum Objekt ein. Insbesondere die Wohnfläche sowie das Kaufdatum wird in vielen Berechnungen verwendet und ist deshalb Pflicht." sqref="F1:I1" xr:uid="{00000000-0002-0000-0100-000003000000}"/>
    <dataValidation type="custom" allowBlank="1" showInputMessage="1" showErrorMessage="1" promptTitle="Kaufpreis &gt;0" prompt="Muss größer Null sein!" sqref="B4" xr:uid="{00000000-0002-0000-0100-000004000000}">
      <formula1>"&gt;0"</formula1>
    </dataValidation>
  </dataValidations>
  <hyperlinks>
    <hyperlink ref="J5" r:id="rId1" display="Bodenrichtwert" xr:uid="{00000000-0004-0000-0100-000001000000}"/>
    <hyperlink ref="O29" location="Deckblatt!A1" display="Keine Gewähr für die Richtigkeit der Angaben. Dieses Tool ersetzt keine fundierte Rechts-, Steuer- oder Finanzberatung. Mehr Details hier." xr:uid="{00000000-0004-0000-0100-000002000000}"/>
    <hyperlink ref="A99" r:id="rId2" xr:uid="{00000000-0004-0000-0100-000003000000}"/>
    <hyperlink ref="D18" r:id="rId3" xr:uid="{F3C8C4C9-3F72-4189-89D3-AC2150400171}"/>
  </hyperlinks>
  <pageMargins left="0.78749999999999998" right="0.78749999999999998" top="1.0527777777777778" bottom="1.0527777777777778" header="0.78749999999999998" footer="0.78749999999999998"/>
  <pageSetup paperSize="9" orientation="portrait" useFirstPageNumber="1" horizontalDpi="300" verticalDpi="300" r:id="rId4"/>
  <headerFooter alignWithMargins="0">
    <oddHeader>&amp;C&amp;"Times New Roman,Regular"&amp;12&amp;A</oddHeader>
    <oddFooter>&amp;C&amp;"Times New Roman,Regular"&amp;12Page &amp;P</oddFooter>
  </headerFooter>
  <drawing r:id="rId5"/>
  <legacyDrawing r:id="rId6"/>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30A3557B-936F-47B7-B1DC-5501F528614D}">
          <x14:formula1>
            <xm:f>AfA!$B$15:$F$15</xm:f>
          </x14:formula1>
          <xm:sqref>B19</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A32A4-7635-4FDA-AEF7-8930F99D737D}">
  <dimension ref="A1:U168"/>
  <sheetViews>
    <sheetView topLeftCell="A10" zoomScale="110" zoomScaleNormal="110" workbookViewId="0">
      <selection activeCell="I14" sqref="I14"/>
    </sheetView>
  </sheetViews>
  <sheetFormatPr baseColWidth="10" defaultRowHeight="13.2"/>
  <cols>
    <col min="1" max="1" width="8.44140625" customWidth="1"/>
    <col min="2" max="5" width="15.77734375" customWidth="1"/>
  </cols>
  <sheetData>
    <row r="1" spans="1:21" ht="21">
      <c r="A1" s="344" t="s">
        <v>460</v>
      </c>
    </row>
    <row r="2" spans="1:21" ht="21">
      <c r="A2" s="344"/>
      <c r="B2" s="7"/>
      <c r="C2" s="7"/>
      <c r="D2" s="7"/>
      <c r="E2" s="7"/>
      <c r="F2" s="7"/>
      <c r="I2" s="370" t="s">
        <v>498</v>
      </c>
      <c r="J2" s="371"/>
      <c r="K2" s="371"/>
      <c r="L2" s="371"/>
      <c r="M2" s="371"/>
      <c r="N2" s="371"/>
      <c r="O2" s="371"/>
      <c r="P2" s="371"/>
      <c r="Q2" s="371"/>
      <c r="R2" s="371"/>
      <c r="S2" s="371"/>
      <c r="T2" s="371"/>
      <c r="U2" s="371"/>
    </row>
    <row r="3" spans="1:21" ht="21">
      <c r="A3" s="344"/>
      <c r="B3" s="346" t="s">
        <v>444</v>
      </c>
      <c r="C3" s="347"/>
      <c r="D3" s="345"/>
      <c r="E3" s="345"/>
      <c r="F3" s="345"/>
      <c r="G3" s="345"/>
    </row>
    <row r="4" spans="1:21" ht="21">
      <c r="A4" s="344"/>
      <c r="B4" s="363" t="s">
        <v>505</v>
      </c>
      <c r="C4" s="364"/>
      <c r="D4" s="636" t="s">
        <v>477</v>
      </c>
      <c r="E4" s="637"/>
      <c r="F4" s="637"/>
      <c r="G4" s="638"/>
    </row>
    <row r="5" spans="1:21" ht="21">
      <c r="A5" s="344"/>
      <c r="B5" s="363" t="s">
        <v>506</v>
      </c>
      <c r="C5" s="364"/>
      <c r="D5" s="636" t="s">
        <v>476</v>
      </c>
      <c r="E5" s="637"/>
      <c r="F5" s="637"/>
      <c r="G5" s="638"/>
    </row>
    <row r="6" spans="1:21" ht="21">
      <c r="A6" s="344"/>
      <c r="B6" s="363" t="s">
        <v>442</v>
      </c>
      <c r="C6" s="364"/>
      <c r="D6" s="636" t="s">
        <v>475</v>
      </c>
      <c r="E6" s="637"/>
      <c r="F6" s="637"/>
      <c r="G6" s="638"/>
    </row>
    <row r="7" spans="1:21" ht="21">
      <c r="A7" s="344"/>
      <c r="B7" s="363" t="s">
        <v>441</v>
      </c>
      <c r="C7" s="364"/>
      <c r="D7" s="636" t="s">
        <v>474</v>
      </c>
      <c r="E7" s="637"/>
      <c r="F7" s="637"/>
      <c r="G7" s="638"/>
    </row>
    <row r="8" spans="1:21" ht="21">
      <c r="A8" s="344"/>
      <c r="B8" s="363" t="s">
        <v>473</v>
      </c>
      <c r="C8" s="364" t="s">
        <v>483</v>
      </c>
      <c r="D8" s="639" t="s">
        <v>461</v>
      </c>
      <c r="E8" s="640"/>
      <c r="F8" s="640"/>
      <c r="G8" s="641"/>
    </row>
    <row r="9" spans="1:21">
      <c r="B9" s="349" t="s">
        <v>443</v>
      </c>
      <c r="C9" s="350"/>
      <c r="D9" s="350"/>
      <c r="E9" s="350"/>
      <c r="F9" s="350"/>
      <c r="G9" s="351"/>
    </row>
    <row r="10" spans="1:21">
      <c r="B10" s="348"/>
      <c r="C10" s="348"/>
      <c r="D10" s="348"/>
      <c r="E10" s="348"/>
      <c r="F10" s="348"/>
    </row>
    <row r="11" spans="1:21">
      <c r="F11" s="7"/>
    </row>
    <row r="12" spans="1:21" ht="14.4" customHeight="1">
      <c r="B12" s="626" t="s">
        <v>488</v>
      </c>
      <c r="C12" s="627"/>
      <c r="D12" s="627"/>
      <c r="E12" s="627"/>
      <c r="F12" s="628"/>
    </row>
    <row r="13" spans="1:21" ht="14.4" customHeight="1">
      <c r="B13" s="629"/>
      <c r="C13" s="630"/>
      <c r="D13" s="630"/>
      <c r="E13" s="630"/>
      <c r="F13" s="631"/>
    </row>
    <row r="14" spans="1:21">
      <c r="B14" s="632"/>
      <c r="C14" s="633"/>
      <c r="D14" s="633"/>
      <c r="E14" s="633"/>
      <c r="F14" s="634"/>
    </row>
    <row r="15" spans="1:21" ht="29.4" customHeight="1">
      <c r="A15" s="369" t="s">
        <v>49</v>
      </c>
      <c r="B15" s="352" t="s">
        <v>462</v>
      </c>
      <c r="C15" s="352" t="s">
        <v>463</v>
      </c>
      <c r="D15" s="353" t="s">
        <v>464</v>
      </c>
      <c r="E15" s="353" t="s">
        <v>465</v>
      </c>
      <c r="F15" s="353" t="s">
        <v>466</v>
      </c>
      <c r="J15" s="436" t="s">
        <v>616</v>
      </c>
    </row>
    <row r="16" spans="1:21" ht="15.6">
      <c r="A16" s="171">
        <v>1</v>
      </c>
      <c r="B16" s="174">
        <v>0.05</v>
      </c>
      <c r="C16" s="174">
        <v>0.05</v>
      </c>
      <c r="D16" s="174">
        <v>0.03</v>
      </c>
      <c r="E16" s="174">
        <v>0.02</v>
      </c>
      <c r="F16" s="357">
        <f t="shared" ref="F16:F46" si="0">1/Lebensdauer*(A16&lt;=Lebensdauer)</f>
        <v>0.02</v>
      </c>
      <c r="J16" s="437" t="s">
        <v>421</v>
      </c>
    </row>
    <row r="17" spans="1:6" ht="14.4">
      <c r="A17" s="171">
        <v>2</v>
      </c>
      <c r="B17" s="174">
        <v>0.05</v>
      </c>
      <c r="C17" s="174">
        <v>0.05</v>
      </c>
      <c r="D17" s="174">
        <v>0.03</v>
      </c>
      <c r="E17" s="174">
        <v>0.02</v>
      </c>
      <c r="F17" s="357">
        <f t="shared" si="0"/>
        <v>0.02</v>
      </c>
    </row>
    <row r="18" spans="1:6" ht="14.4">
      <c r="A18" s="171">
        <v>3</v>
      </c>
      <c r="B18" s="174">
        <v>0.05</v>
      </c>
      <c r="C18" s="174">
        <v>0.05</v>
      </c>
      <c r="D18" s="174">
        <v>0.03</v>
      </c>
      <c r="E18" s="174">
        <v>0.02</v>
      </c>
      <c r="F18" s="357">
        <f t="shared" si="0"/>
        <v>0.02</v>
      </c>
    </row>
    <row r="19" spans="1:6" ht="14.4">
      <c r="A19" s="171">
        <v>4</v>
      </c>
      <c r="B19" s="174">
        <v>0.05</v>
      </c>
      <c r="C19" s="174">
        <v>0.05</v>
      </c>
      <c r="D19" s="174">
        <v>0.03</v>
      </c>
      <c r="E19" s="174">
        <v>0.02</v>
      </c>
      <c r="F19" s="357">
        <f t="shared" si="0"/>
        <v>0.02</v>
      </c>
    </row>
    <row r="20" spans="1:6" ht="14.4">
      <c r="A20" s="171">
        <v>5</v>
      </c>
      <c r="B20" s="174">
        <v>0.05</v>
      </c>
      <c r="C20" s="174">
        <v>0.05</v>
      </c>
      <c r="D20" s="174">
        <v>0.03</v>
      </c>
      <c r="E20" s="174">
        <v>0.02</v>
      </c>
      <c r="F20" s="357">
        <f t="shared" si="0"/>
        <v>0.02</v>
      </c>
    </row>
    <row r="21" spans="1:6" ht="14.4">
      <c r="A21" s="171">
        <v>6</v>
      </c>
      <c r="B21" s="174">
        <v>0.05</v>
      </c>
      <c r="C21" s="174">
        <v>0.05</v>
      </c>
      <c r="D21" s="174">
        <v>0.03</v>
      </c>
      <c r="E21" s="174">
        <v>0.02</v>
      </c>
      <c r="F21" s="357">
        <f t="shared" si="0"/>
        <v>0.02</v>
      </c>
    </row>
    <row r="22" spans="1:6" ht="14.4">
      <c r="A22" s="171">
        <v>7</v>
      </c>
      <c r="B22" s="174">
        <v>0.03</v>
      </c>
      <c r="C22" s="174">
        <v>0.02</v>
      </c>
      <c r="D22" s="174">
        <v>0.03</v>
      </c>
      <c r="E22" s="174">
        <v>0.02</v>
      </c>
      <c r="F22" s="357">
        <f t="shared" si="0"/>
        <v>0.02</v>
      </c>
    </row>
    <row r="23" spans="1:6" ht="14.4">
      <c r="A23" s="171">
        <v>8</v>
      </c>
      <c r="B23" s="174">
        <v>0.03</v>
      </c>
      <c r="C23" s="174">
        <v>0.02</v>
      </c>
      <c r="D23" s="174">
        <v>0.03</v>
      </c>
      <c r="E23" s="174">
        <v>0.02</v>
      </c>
      <c r="F23" s="357">
        <f t="shared" si="0"/>
        <v>0.02</v>
      </c>
    </row>
    <row r="24" spans="1:6" ht="14.4">
      <c r="A24" s="171">
        <v>9</v>
      </c>
      <c r="B24" s="174">
        <v>0.03</v>
      </c>
      <c r="C24" s="174">
        <v>0.02</v>
      </c>
      <c r="D24" s="174">
        <v>0.03</v>
      </c>
      <c r="E24" s="174">
        <v>0.02</v>
      </c>
      <c r="F24" s="357">
        <f t="shared" si="0"/>
        <v>0.02</v>
      </c>
    </row>
    <row r="25" spans="1:6" ht="14.4">
      <c r="A25" s="171">
        <v>10</v>
      </c>
      <c r="B25" s="174">
        <v>0.03</v>
      </c>
      <c r="C25" s="174">
        <v>0.02</v>
      </c>
      <c r="D25" s="174">
        <v>0.03</v>
      </c>
      <c r="E25" s="174">
        <v>0.02</v>
      </c>
      <c r="F25" s="357">
        <f t="shared" si="0"/>
        <v>0.02</v>
      </c>
    </row>
    <row r="26" spans="1:6" ht="14.4">
      <c r="A26" s="171">
        <v>11</v>
      </c>
      <c r="B26" s="174">
        <v>0.03</v>
      </c>
      <c r="C26" s="174">
        <v>0.02</v>
      </c>
      <c r="D26" s="174">
        <v>0.03</v>
      </c>
      <c r="E26" s="174">
        <v>0.02</v>
      </c>
      <c r="F26" s="357">
        <f t="shared" si="0"/>
        <v>0.02</v>
      </c>
    </row>
    <row r="27" spans="1:6" ht="14.4">
      <c r="A27" s="171">
        <v>12</v>
      </c>
      <c r="B27" s="174">
        <v>0.03</v>
      </c>
      <c r="C27" s="174">
        <v>0.02</v>
      </c>
      <c r="D27" s="174">
        <v>0.03</v>
      </c>
      <c r="E27" s="174">
        <v>0.02</v>
      </c>
      <c r="F27" s="357">
        <f t="shared" si="0"/>
        <v>0.02</v>
      </c>
    </row>
    <row r="28" spans="1:6" ht="14.4">
      <c r="A28" s="171">
        <v>13</v>
      </c>
      <c r="B28" s="174">
        <v>0.03</v>
      </c>
      <c r="C28" s="174">
        <v>0.02</v>
      </c>
      <c r="D28" s="174">
        <v>0.03</v>
      </c>
      <c r="E28" s="174">
        <v>0.02</v>
      </c>
      <c r="F28" s="357">
        <f t="shared" si="0"/>
        <v>0.02</v>
      </c>
    </row>
    <row r="29" spans="1:6" ht="14.4">
      <c r="A29" s="171">
        <v>14</v>
      </c>
      <c r="B29" s="174">
        <v>0.03</v>
      </c>
      <c r="C29" s="174">
        <v>0.02</v>
      </c>
      <c r="D29" s="174">
        <v>0.03</v>
      </c>
      <c r="E29" s="174">
        <v>0.02</v>
      </c>
      <c r="F29" s="357">
        <f t="shared" si="0"/>
        <v>0.02</v>
      </c>
    </row>
    <row r="30" spans="1:6" ht="14.4">
      <c r="A30" s="171">
        <v>15</v>
      </c>
      <c r="B30" s="174">
        <v>0.03</v>
      </c>
      <c r="C30" s="174">
        <v>0.02</v>
      </c>
      <c r="D30" s="174">
        <v>0.03</v>
      </c>
      <c r="E30" s="174">
        <v>0.02</v>
      </c>
      <c r="F30" s="357">
        <f t="shared" si="0"/>
        <v>0.02</v>
      </c>
    </row>
    <row r="31" spans="1:6" ht="14.4">
      <c r="A31" s="171">
        <v>16</v>
      </c>
      <c r="B31" s="174">
        <v>0.03</v>
      </c>
      <c r="C31" s="174">
        <v>0.02</v>
      </c>
      <c r="D31" s="174">
        <v>0.03</v>
      </c>
      <c r="E31" s="174">
        <v>0.02</v>
      </c>
      <c r="F31" s="357">
        <f t="shared" si="0"/>
        <v>0.02</v>
      </c>
    </row>
    <row r="32" spans="1:6" ht="14.4">
      <c r="A32" s="171">
        <v>17</v>
      </c>
      <c r="B32" s="174">
        <v>0.03</v>
      </c>
      <c r="C32" s="174">
        <v>0.02</v>
      </c>
      <c r="D32" s="174">
        <v>0.03</v>
      </c>
      <c r="E32" s="174">
        <v>0.02</v>
      </c>
      <c r="F32" s="357">
        <f t="shared" si="0"/>
        <v>0.02</v>
      </c>
    </row>
    <row r="33" spans="1:6" ht="14.4">
      <c r="A33" s="171">
        <v>18</v>
      </c>
      <c r="B33" s="174">
        <v>0.03</v>
      </c>
      <c r="C33" s="174">
        <v>0.02</v>
      </c>
      <c r="D33" s="174">
        <v>0.03</v>
      </c>
      <c r="E33" s="174">
        <v>0.02</v>
      </c>
      <c r="F33" s="357">
        <f t="shared" si="0"/>
        <v>0.02</v>
      </c>
    </row>
    <row r="34" spans="1:6" ht="14.4">
      <c r="A34" s="171">
        <v>19</v>
      </c>
      <c r="B34" s="174">
        <v>0.03</v>
      </c>
      <c r="C34" s="174">
        <v>0.02</v>
      </c>
      <c r="D34" s="174">
        <v>0.03</v>
      </c>
      <c r="E34" s="174">
        <v>0.02</v>
      </c>
      <c r="F34" s="357">
        <f t="shared" si="0"/>
        <v>0.02</v>
      </c>
    </row>
    <row r="35" spans="1:6" ht="14.4">
      <c r="A35" s="171">
        <v>20</v>
      </c>
      <c r="B35" s="174">
        <v>0.03</v>
      </c>
      <c r="C35" s="174">
        <v>0.02</v>
      </c>
      <c r="D35" s="174">
        <v>0.03</v>
      </c>
      <c r="E35" s="174">
        <v>0.02</v>
      </c>
      <c r="F35" s="357">
        <f t="shared" si="0"/>
        <v>0.02</v>
      </c>
    </row>
    <row r="36" spans="1:6" ht="14.4">
      <c r="A36" s="171">
        <v>21</v>
      </c>
      <c r="B36" s="174">
        <v>0.03</v>
      </c>
      <c r="C36" s="174">
        <v>0.02</v>
      </c>
      <c r="D36" s="174">
        <v>0.03</v>
      </c>
      <c r="E36" s="174">
        <v>0.02</v>
      </c>
      <c r="F36" s="357">
        <f t="shared" si="0"/>
        <v>0.02</v>
      </c>
    </row>
    <row r="37" spans="1:6" ht="14.4">
      <c r="A37" s="171">
        <v>22</v>
      </c>
      <c r="B37" s="174">
        <v>0.03</v>
      </c>
      <c r="C37" s="174">
        <v>0.02</v>
      </c>
      <c r="D37" s="174">
        <v>0.03</v>
      </c>
      <c r="E37" s="174">
        <v>0.02</v>
      </c>
      <c r="F37" s="357">
        <f t="shared" si="0"/>
        <v>0.02</v>
      </c>
    </row>
    <row r="38" spans="1:6" ht="14.4">
      <c r="A38" s="171">
        <v>23</v>
      </c>
      <c r="B38" s="174">
        <v>0.03</v>
      </c>
      <c r="C38" s="174">
        <v>0.02</v>
      </c>
      <c r="D38" s="174">
        <v>0.03</v>
      </c>
      <c r="E38" s="174">
        <v>0.02</v>
      </c>
      <c r="F38" s="357">
        <f t="shared" si="0"/>
        <v>0.02</v>
      </c>
    </row>
    <row r="39" spans="1:6" ht="14.4">
      <c r="A39" s="171">
        <v>24</v>
      </c>
      <c r="B39" s="174">
        <v>0.03</v>
      </c>
      <c r="C39" s="174">
        <v>0.02</v>
      </c>
      <c r="D39" s="174">
        <v>0.03</v>
      </c>
      <c r="E39" s="174">
        <v>0.02</v>
      </c>
      <c r="F39" s="357">
        <f t="shared" si="0"/>
        <v>0.02</v>
      </c>
    </row>
    <row r="40" spans="1:6" ht="14.4">
      <c r="A40" s="171">
        <v>25</v>
      </c>
      <c r="B40" s="174">
        <v>0.03</v>
      </c>
      <c r="C40" s="174">
        <v>0.02</v>
      </c>
      <c r="D40" s="174">
        <v>0.03</v>
      </c>
      <c r="E40" s="174">
        <v>0.02</v>
      </c>
      <c r="F40" s="357">
        <f t="shared" si="0"/>
        <v>0.02</v>
      </c>
    </row>
    <row r="41" spans="1:6" ht="14.4">
      <c r="A41" s="171">
        <v>26</v>
      </c>
      <c r="B41" s="174">
        <v>0.03</v>
      </c>
      <c r="C41" s="174">
        <v>0.02</v>
      </c>
      <c r="D41" s="174">
        <v>0.03</v>
      </c>
      <c r="E41" s="174">
        <v>0.02</v>
      </c>
      <c r="F41" s="357">
        <f t="shared" si="0"/>
        <v>0.02</v>
      </c>
    </row>
    <row r="42" spans="1:6" ht="14.4">
      <c r="A42" s="171">
        <v>27</v>
      </c>
      <c r="B42" s="174">
        <v>0.03</v>
      </c>
      <c r="C42" s="174">
        <v>0.02</v>
      </c>
      <c r="D42" s="174">
        <v>0.03</v>
      </c>
      <c r="E42" s="174">
        <v>0.02</v>
      </c>
      <c r="F42" s="357">
        <f t="shared" si="0"/>
        <v>0.02</v>
      </c>
    </row>
    <row r="43" spans="1:6" ht="14.4">
      <c r="A43" s="171">
        <v>28</v>
      </c>
      <c r="B43" s="174">
        <v>0.03</v>
      </c>
      <c r="C43" s="174">
        <v>0.02</v>
      </c>
      <c r="D43" s="174">
        <v>0.03</v>
      </c>
      <c r="E43" s="174">
        <v>0.02</v>
      </c>
      <c r="F43" s="357">
        <f t="shared" si="0"/>
        <v>0.02</v>
      </c>
    </row>
    <row r="44" spans="1:6" ht="14.4">
      <c r="A44" s="171">
        <v>29</v>
      </c>
      <c r="B44" s="174">
        <v>0.03</v>
      </c>
      <c r="C44" s="174">
        <v>0.02</v>
      </c>
      <c r="D44" s="174">
        <v>0.03</v>
      </c>
      <c r="E44" s="174">
        <v>0.02</v>
      </c>
      <c r="F44" s="357">
        <f t="shared" si="0"/>
        <v>0.02</v>
      </c>
    </row>
    <row r="45" spans="1:6" ht="14.4">
      <c r="A45" s="171">
        <v>30</v>
      </c>
      <c r="B45" s="174">
        <v>0.03</v>
      </c>
      <c r="C45" s="174">
        <v>0.02</v>
      </c>
      <c r="D45" s="174">
        <v>0.03</v>
      </c>
      <c r="E45" s="174">
        <v>0.02</v>
      </c>
      <c r="F45" s="357">
        <f t="shared" si="0"/>
        <v>0.02</v>
      </c>
    </row>
    <row r="46" spans="1:6" ht="14.4">
      <c r="A46" s="171">
        <v>31</v>
      </c>
      <c r="B46" s="174">
        <v>0.03</v>
      </c>
      <c r="C46" s="174">
        <v>0.02</v>
      </c>
      <c r="D46" s="174">
        <v>0.03</v>
      </c>
      <c r="E46" s="174">
        <v>0.02</v>
      </c>
      <c r="F46" s="357">
        <f t="shared" si="0"/>
        <v>0.02</v>
      </c>
    </row>
    <row r="47" spans="1:6" ht="14.4">
      <c r="F47" s="178" t="s">
        <v>276</v>
      </c>
    </row>
    <row r="48" spans="1:6" ht="14.4">
      <c r="F48" s="222" t="s">
        <v>467</v>
      </c>
    </row>
    <row r="49" spans="1:7" ht="14.4">
      <c r="F49" s="181" t="s">
        <v>468</v>
      </c>
    </row>
    <row r="50" spans="1:7" ht="14.4">
      <c r="F50" s="165" t="s">
        <v>469</v>
      </c>
    </row>
    <row r="51" spans="1:7" ht="14.4">
      <c r="F51" s="188" t="s">
        <v>470</v>
      </c>
    </row>
    <row r="52" spans="1:7">
      <c r="F52" t="s">
        <v>471</v>
      </c>
    </row>
    <row r="53" spans="1:7">
      <c r="F53" t="s">
        <v>472</v>
      </c>
    </row>
    <row r="55" spans="1:7">
      <c r="F55" s="367" t="s">
        <v>484</v>
      </c>
      <c r="G55" s="367"/>
    </row>
    <row r="56" spans="1:7">
      <c r="F56" s="367" t="s">
        <v>485</v>
      </c>
      <c r="G56" s="367"/>
    </row>
    <row r="57" spans="1:7">
      <c r="F57" s="367" t="s">
        <v>486</v>
      </c>
      <c r="G57" s="367"/>
    </row>
    <row r="58" spans="1:7" ht="13.8">
      <c r="F58" s="368" t="s">
        <v>490</v>
      </c>
      <c r="G58" s="367"/>
    </row>
    <row r="59" spans="1:7">
      <c r="F59" s="367" t="s">
        <v>487</v>
      </c>
      <c r="G59" s="367"/>
    </row>
    <row r="60" spans="1:7">
      <c r="F60" s="367" t="s">
        <v>508</v>
      </c>
      <c r="G60" s="367"/>
    </row>
    <row r="63" spans="1:7" s="53" customFormat="1" ht="20.7" customHeight="1">
      <c r="A63" s="331" t="s">
        <v>421</v>
      </c>
    </row>
    <row r="64" spans="1:7" s="53" customFormat="1" ht="20.7" customHeight="1">
      <c r="A64" s="333" t="s">
        <v>431</v>
      </c>
      <c r="B64" s="96" t="s">
        <v>430</v>
      </c>
    </row>
    <row r="65" spans="1:8" s="53" customFormat="1" ht="20.7" customHeight="1">
      <c r="A65" s="333"/>
      <c r="B65" s="96"/>
    </row>
    <row r="66" spans="1:8" s="53" customFormat="1" ht="32.4" customHeight="1">
      <c r="A66" s="635" t="s">
        <v>422</v>
      </c>
      <c r="B66" s="635"/>
      <c r="C66" s="635"/>
      <c r="D66" s="635"/>
      <c r="E66" s="635"/>
      <c r="F66" s="635"/>
      <c r="G66" s="635"/>
      <c r="H66" s="365"/>
    </row>
    <row r="67" spans="1:8" s="53" customFormat="1" ht="27" customHeight="1">
      <c r="A67" s="635" t="s">
        <v>423</v>
      </c>
      <c r="B67" s="635"/>
      <c r="C67" s="635"/>
      <c r="D67" s="635"/>
      <c r="E67" s="635"/>
      <c r="F67" s="635"/>
      <c r="G67" s="635"/>
      <c r="H67" s="635"/>
    </row>
    <row r="68" spans="1:8" s="53" customFormat="1" ht="20.7" customHeight="1">
      <c r="A68" s="635" t="s">
        <v>424</v>
      </c>
      <c r="B68" s="635"/>
      <c r="C68" s="635"/>
      <c r="D68" s="635"/>
      <c r="E68" s="635"/>
      <c r="F68" s="635"/>
      <c r="G68" s="635"/>
      <c r="H68" s="365"/>
    </row>
    <row r="69" spans="1:8" s="53" customFormat="1" ht="31.2" customHeight="1">
      <c r="A69" s="635" t="s">
        <v>425</v>
      </c>
      <c r="B69" s="635"/>
      <c r="C69" s="635"/>
      <c r="D69" s="635"/>
      <c r="E69" s="635"/>
      <c r="F69" s="635"/>
      <c r="G69" s="635"/>
      <c r="H69" s="418"/>
    </row>
    <row r="70" spans="1:8" s="53" customFormat="1" ht="58.2" customHeight="1">
      <c r="A70" s="635" t="s">
        <v>426</v>
      </c>
      <c r="B70" s="635"/>
      <c r="C70" s="635"/>
      <c r="D70" s="635"/>
      <c r="E70" s="635"/>
      <c r="F70" s="635"/>
      <c r="G70" s="635"/>
      <c r="H70" s="635"/>
    </row>
    <row r="71" spans="1:8" s="53" customFormat="1" ht="31.2" customHeight="1">
      <c r="A71" s="635" t="s">
        <v>427</v>
      </c>
      <c r="B71" s="635"/>
      <c r="C71" s="635"/>
      <c r="D71" s="635"/>
      <c r="E71" s="635"/>
      <c r="F71" s="635"/>
      <c r="G71" s="635"/>
      <c r="H71" s="635"/>
    </row>
    <row r="72" spans="1:8" s="53" customFormat="1" ht="51.6" customHeight="1">
      <c r="A72" s="635" t="s">
        <v>428</v>
      </c>
      <c r="B72" s="635"/>
      <c r="C72" s="635"/>
      <c r="D72" s="635"/>
      <c r="E72" s="635"/>
      <c r="F72" s="635"/>
      <c r="G72" s="635"/>
      <c r="H72" s="635"/>
    </row>
    <row r="73" spans="1:8" s="53" customFormat="1" ht="59.4" customHeight="1">
      <c r="A73" s="635" t="s">
        <v>429</v>
      </c>
      <c r="B73" s="635"/>
      <c r="C73" s="635"/>
      <c r="D73" s="635"/>
      <c r="E73" s="635"/>
      <c r="F73" s="635"/>
      <c r="G73" s="635"/>
      <c r="H73" s="635"/>
    </row>
    <row r="76" spans="1:8" ht="15.6">
      <c r="A76" s="432" t="s">
        <v>615</v>
      </c>
    </row>
    <row r="77" spans="1:8" ht="15.6">
      <c r="A77" s="432" t="s">
        <v>679</v>
      </c>
    </row>
    <row r="78" spans="1:8" ht="15.6">
      <c r="A78" s="432" t="s">
        <v>680</v>
      </c>
    </row>
    <row r="79" spans="1:8" ht="15.6">
      <c r="A79" s="428" t="s">
        <v>593</v>
      </c>
    </row>
    <row r="80" spans="1:8" ht="15.6">
      <c r="A80" s="428" t="s">
        <v>594</v>
      </c>
    </row>
    <row r="81" spans="1:9" ht="15.6">
      <c r="A81" s="428" t="s">
        <v>595</v>
      </c>
    </row>
    <row r="82" spans="1:9" ht="15.6">
      <c r="A82" s="432"/>
    </row>
    <row r="83" spans="1:9" ht="15.6">
      <c r="A83" s="432"/>
    </row>
    <row r="84" spans="1:9" ht="15.6">
      <c r="A84" s="432" t="s">
        <v>596</v>
      </c>
    </row>
    <row r="85" spans="1:9" ht="15.6">
      <c r="A85" s="433" t="s">
        <v>597</v>
      </c>
    </row>
    <row r="86" spans="1:9" ht="15.6">
      <c r="A86" s="428" t="s">
        <v>598</v>
      </c>
    </row>
    <row r="87" spans="1:9" ht="15.6">
      <c r="A87" s="428" t="s">
        <v>599</v>
      </c>
    </row>
    <row r="88" spans="1:9" ht="15.6">
      <c r="A88" s="428" t="s">
        <v>600</v>
      </c>
    </row>
    <row r="89" spans="1:9" ht="15.6">
      <c r="A89" s="428" t="s">
        <v>601</v>
      </c>
    </row>
    <row r="90" spans="1:9" ht="16.2" customHeight="1">
      <c r="A90" s="428"/>
    </row>
    <row r="91" spans="1:9" s="53" customFormat="1" ht="20.7" customHeight="1">
      <c r="A91" s="111" t="s">
        <v>432</v>
      </c>
    </row>
    <row r="92" spans="1:9" s="53" customFormat="1" ht="67.2" customHeight="1">
      <c r="A92" s="599" t="s">
        <v>433</v>
      </c>
      <c r="B92" s="599"/>
      <c r="C92" s="599"/>
      <c r="D92" s="599"/>
      <c r="E92" s="599"/>
      <c r="F92" s="599"/>
      <c r="G92" s="599"/>
      <c r="H92" s="599"/>
      <c r="I92" s="599"/>
    </row>
    <row r="93" spans="1:9" ht="15.6">
      <c r="A93" s="428"/>
    </row>
    <row r="94" spans="1:9" ht="15.6">
      <c r="A94" s="433"/>
    </row>
    <row r="95" spans="1:9" ht="15.6">
      <c r="A95" s="433"/>
    </row>
    <row r="96" spans="1:9" ht="15.6">
      <c r="A96" s="433"/>
    </row>
    <row r="97" spans="1:1" ht="15.6">
      <c r="A97" s="433"/>
    </row>
    <row r="98" spans="1:1" ht="15.6">
      <c r="A98" s="433"/>
    </row>
    <row r="99" spans="1:1" ht="15.6">
      <c r="A99" s="433"/>
    </row>
    <row r="100" spans="1:1" ht="15.6">
      <c r="A100" s="433"/>
    </row>
    <row r="101" spans="1:1" ht="15.6">
      <c r="A101" s="433"/>
    </row>
    <row r="102" spans="1:1" ht="15.6">
      <c r="A102" s="433"/>
    </row>
    <row r="103" spans="1:1" ht="15.6">
      <c r="A103" s="433"/>
    </row>
    <row r="104" spans="1:1" ht="15.6">
      <c r="A104" s="433"/>
    </row>
    <row r="105" spans="1:1" ht="15.6">
      <c r="A105" s="433"/>
    </row>
    <row r="106" spans="1:1" ht="15.6">
      <c r="A106" s="433"/>
    </row>
    <row r="107" spans="1:1" ht="15.6">
      <c r="A107" s="433"/>
    </row>
    <row r="108" spans="1:1" ht="15.6">
      <c r="A108" s="433"/>
    </row>
    <row r="109" spans="1:1" ht="15.6">
      <c r="A109" s="433"/>
    </row>
    <row r="110" spans="1:1" ht="15.6">
      <c r="A110" s="433"/>
    </row>
    <row r="111" spans="1:1" ht="15.6">
      <c r="A111" s="433"/>
    </row>
    <row r="112" spans="1:1" ht="15.6">
      <c r="A112" s="433"/>
    </row>
    <row r="113" spans="1:1" ht="15.6">
      <c r="A113" s="433"/>
    </row>
    <row r="114" spans="1:1" ht="15.6">
      <c r="A114" s="433"/>
    </row>
    <row r="115" spans="1:1" ht="15.6">
      <c r="A115" s="433"/>
    </row>
    <row r="116" spans="1:1" ht="15.6">
      <c r="A116" s="433"/>
    </row>
    <row r="117" spans="1:1" ht="15.6">
      <c r="A117" s="433" t="s">
        <v>602</v>
      </c>
    </row>
    <row r="118" spans="1:1" ht="15.6">
      <c r="A118" s="428" t="s">
        <v>603</v>
      </c>
    </row>
    <row r="119" spans="1:1" ht="15.6">
      <c r="A119" s="428" t="s">
        <v>604</v>
      </c>
    </row>
    <row r="120" spans="1:1" ht="15.6">
      <c r="A120" s="428"/>
    </row>
    <row r="121" spans="1:1" ht="15.6">
      <c r="A121" s="433" t="s">
        <v>605</v>
      </c>
    </row>
    <row r="122" spans="1:1" ht="15.6">
      <c r="A122" s="428" t="s">
        <v>606</v>
      </c>
    </row>
    <row r="123" spans="1:1" ht="15.6">
      <c r="A123" s="428" t="s">
        <v>607</v>
      </c>
    </row>
    <row r="124" spans="1:1" ht="15.6">
      <c r="A124" s="428" t="s">
        <v>608</v>
      </c>
    </row>
    <row r="125" spans="1:1" ht="15.6">
      <c r="A125" s="432"/>
    </row>
    <row r="126" spans="1:1" ht="15.6">
      <c r="A126" s="432" t="s">
        <v>609</v>
      </c>
    </row>
    <row r="150" spans="1:1" ht="15.6">
      <c r="A150" s="433" t="s">
        <v>610</v>
      </c>
    </row>
    <row r="151" spans="1:1" ht="15.6">
      <c r="A151" s="428" t="s">
        <v>611</v>
      </c>
    </row>
    <row r="152" spans="1:1" ht="15.6">
      <c r="A152" s="428" t="s">
        <v>612</v>
      </c>
    </row>
    <row r="153" spans="1:1" ht="15.6">
      <c r="A153" s="428" t="s">
        <v>613</v>
      </c>
    </row>
    <row r="154" spans="1:1" ht="15.6">
      <c r="A154" s="434"/>
    </row>
    <row r="155" spans="1:1">
      <c r="A155" s="435" t="s">
        <v>614</v>
      </c>
    </row>
    <row r="156" spans="1:1" ht="15.6">
      <c r="A156" s="434"/>
    </row>
    <row r="161" spans="1:9" s="53" customFormat="1" ht="20.7" customHeight="1"/>
    <row r="162" spans="1:9" s="53" customFormat="1" ht="20.7" customHeight="1">
      <c r="A162" s="331" t="s">
        <v>434</v>
      </c>
    </row>
    <row r="163" spans="1:9" s="53" customFormat="1" ht="20.7" customHeight="1">
      <c r="A163" s="333" t="s">
        <v>431</v>
      </c>
      <c r="B163" s="96" t="s">
        <v>438</v>
      </c>
    </row>
    <row r="164" spans="1:9" s="53" customFormat="1" ht="33.6" customHeight="1">
      <c r="A164" s="599" t="s">
        <v>435</v>
      </c>
      <c r="B164" s="599"/>
      <c r="C164" s="599"/>
      <c r="D164" s="599"/>
      <c r="E164" s="599"/>
      <c r="F164" s="599"/>
      <c r="G164" s="599"/>
      <c r="H164" s="599"/>
      <c r="I164" s="599"/>
    </row>
    <row r="165" spans="1:9" s="53" customFormat="1" ht="33.6" customHeight="1">
      <c r="A165" s="599" t="s">
        <v>436</v>
      </c>
      <c r="B165" s="599"/>
      <c r="C165" s="599"/>
      <c r="D165" s="599"/>
      <c r="E165" s="599"/>
      <c r="F165" s="599"/>
      <c r="G165" s="599"/>
      <c r="H165" s="599"/>
      <c r="I165" s="599"/>
    </row>
    <row r="166" spans="1:9" s="53" customFormat="1" ht="18" customHeight="1">
      <c r="A166" s="599" t="s">
        <v>437</v>
      </c>
      <c r="B166" s="599"/>
      <c r="C166" s="599"/>
      <c r="D166" s="599"/>
      <c r="E166" s="599"/>
      <c r="F166" s="599"/>
      <c r="G166" s="599"/>
      <c r="H166" s="599"/>
      <c r="I166" s="599"/>
    </row>
    <row r="167" spans="1:9" s="53" customFormat="1" ht="13.95" customHeight="1"/>
    <row r="168" spans="1:9" s="53" customFormat="1" ht="13.95" customHeight="1">
      <c r="A168" s="340" t="s">
        <v>489</v>
      </c>
      <c r="B168" s="96" t="s">
        <v>447</v>
      </c>
    </row>
  </sheetData>
  <mergeCells count="18">
    <mergeCell ref="D4:G4"/>
    <mergeCell ref="D5:G5"/>
    <mergeCell ref="D6:G6"/>
    <mergeCell ref="D7:G7"/>
    <mergeCell ref="D8:G8"/>
    <mergeCell ref="A165:I165"/>
    <mergeCell ref="A166:I166"/>
    <mergeCell ref="A70:H70"/>
    <mergeCell ref="A71:H71"/>
    <mergeCell ref="A72:H72"/>
    <mergeCell ref="A73:H73"/>
    <mergeCell ref="B12:F14"/>
    <mergeCell ref="A92:I92"/>
    <mergeCell ref="A164:I164"/>
    <mergeCell ref="A67:H67"/>
    <mergeCell ref="A66:G66"/>
    <mergeCell ref="A68:G68"/>
    <mergeCell ref="A69:G69"/>
  </mergeCells>
  <hyperlinks>
    <hyperlink ref="B64" r:id="rId1" xr:uid="{3A5261DF-FF10-441F-BEDB-845F09FD7EF1}"/>
    <hyperlink ref="B163" r:id="rId2" xr:uid="{E1E03A64-0A83-4B3D-8919-13C6F1BECD17}"/>
    <hyperlink ref="B168" r:id="rId3" xr:uid="{675B92B9-FE61-42C3-93D7-745E0FDA0DBA}"/>
    <hyperlink ref="F58" r:id="rId4" display="der Restnutzungsdauer" xr:uid="{625CE15E-180D-4DC0-91B6-B67947560E97}"/>
    <hyperlink ref="D8" r:id="rId5" display="der Restnutzungsdauer" xr:uid="{76097630-B723-4FD0-A1EE-6573804194C9}"/>
    <hyperlink ref="A155" r:id="rId6" display="https://ivd.net/bundesverband/steuerliche-vorteile-im-wohnungsbau-degressive-afa-sonderabschreibung" xr:uid="{2DF59DAC-E9A3-491F-A69F-0C31CE320F11}"/>
  </hyperlinks>
  <pageMargins left="0.7" right="0.7" top="0.78740157499999996" bottom="0.78740157499999996" header="0.3" footer="0.3"/>
  <pageSetup paperSize="9" orientation="portrait" r:id="rId7"/>
  <drawing r:id="rId8"/>
  <legacyDrawing r:id="rId9"/>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Y77"/>
  <sheetViews>
    <sheetView zoomScale="90" zoomScaleNormal="90"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11.6640625" defaultRowHeight="14.1" customHeight="1"/>
  <cols>
    <col min="1" max="1" width="6.6640625" style="165" customWidth="1"/>
    <col min="2" max="2" width="10.88671875" style="165" customWidth="1"/>
    <col min="3" max="4" width="11.77734375" style="165" customWidth="1"/>
    <col min="5" max="6" width="10.21875" style="165" customWidth="1"/>
    <col min="7" max="7" width="9.77734375" style="165" customWidth="1"/>
    <col min="8" max="9" width="11.77734375" style="165" customWidth="1"/>
    <col min="10" max="10" width="11.6640625" style="165" customWidth="1"/>
    <col min="11" max="11" width="11.77734375" style="165" customWidth="1"/>
    <col min="12" max="12" width="9.77734375" style="165" customWidth="1"/>
    <col min="13" max="13" width="9.33203125" style="165" customWidth="1"/>
    <col min="14" max="16" width="11" style="165" customWidth="1"/>
    <col min="17" max="19" width="12.6640625" style="165" customWidth="1"/>
    <col min="20" max="20" width="12.109375" style="165" customWidth="1"/>
    <col min="21" max="21" width="4.44140625" style="165" customWidth="1"/>
    <col min="22" max="22" width="14.33203125" style="165" customWidth="1"/>
    <col min="23" max="23" width="12.6640625" style="165" customWidth="1"/>
    <col min="24" max="24" width="12.109375" style="165" customWidth="1"/>
    <col min="25" max="25" width="13.21875" style="165" customWidth="1"/>
    <col min="26" max="26" width="12" style="165" customWidth="1"/>
    <col min="27" max="27" width="13.77734375" style="165" customWidth="1"/>
    <col min="28" max="28" width="12.33203125" style="165" customWidth="1"/>
    <col min="29" max="29" width="14.109375" style="165" customWidth="1"/>
    <col min="30" max="30" width="10.6640625" style="165" customWidth="1"/>
    <col min="31" max="31" width="4.5546875" style="165" customWidth="1"/>
    <col min="32" max="32" width="14.88671875" style="165" customWidth="1"/>
    <col min="33" max="33" width="16.77734375" style="165" customWidth="1"/>
    <col min="34" max="34" width="15.33203125" style="165" customWidth="1"/>
    <col min="35" max="35" width="13.6640625" style="165" customWidth="1"/>
    <col min="36" max="36" width="4.21875" style="165" customWidth="1"/>
    <col min="37" max="37" width="17" style="303" customWidth="1"/>
    <col min="38" max="38" width="18.109375" style="311" customWidth="1"/>
    <col min="39" max="39" width="17.5546875" style="311" customWidth="1"/>
    <col min="40" max="40" width="8.88671875" style="312" customWidth="1"/>
    <col min="41" max="41" width="14.88671875" style="165" customWidth="1"/>
    <col min="42" max="42" width="13.77734375" style="165" customWidth="1"/>
    <col min="43" max="44" width="15.109375" style="179" customWidth="1"/>
    <col min="45" max="45" width="15.6640625" style="165" customWidth="1"/>
    <col min="46" max="46" width="7.77734375" style="165" customWidth="1"/>
    <col min="47" max="47" width="17.21875" style="165" customWidth="1"/>
    <col min="48" max="49" width="17.6640625" style="165" customWidth="1"/>
    <col min="50" max="50" width="18.33203125" style="165" customWidth="1"/>
    <col min="51" max="51" width="11.5546875" style="165" customWidth="1"/>
    <col min="52" max="52" width="18.33203125" style="165" customWidth="1"/>
    <col min="53" max="257" width="11.5546875" style="165" customWidth="1"/>
    <col min="258" max="16384" width="11.6640625" style="165"/>
  </cols>
  <sheetData>
    <row r="1" spans="1:51" ht="14.1" customHeight="1" thickBot="1">
      <c r="A1" s="194" t="s">
        <v>389</v>
      </c>
      <c r="B1" s="160"/>
      <c r="C1" s="160"/>
      <c r="D1" s="160"/>
      <c r="E1" s="161"/>
      <c r="F1" s="161"/>
      <c r="G1" s="162"/>
      <c r="H1" s="162"/>
      <c r="I1" s="162"/>
      <c r="J1" s="194" t="s">
        <v>359</v>
      </c>
      <c r="K1" s="162"/>
      <c r="L1" s="162"/>
      <c r="M1" s="162"/>
      <c r="N1" s="162"/>
      <c r="O1" s="162"/>
      <c r="P1" s="162"/>
      <c r="Q1" s="162"/>
      <c r="S1" s="674" t="s">
        <v>574</v>
      </c>
      <c r="T1" s="675"/>
      <c r="V1" s="663" t="s">
        <v>368</v>
      </c>
      <c r="W1" s="664"/>
      <c r="X1" s="664"/>
      <c r="Y1" s="664"/>
      <c r="Z1" s="664"/>
      <c r="AA1" s="664"/>
      <c r="AB1" s="664"/>
      <c r="AC1" s="665"/>
      <c r="AD1" s="211"/>
      <c r="AE1" s="181"/>
      <c r="AF1" s="666" t="s">
        <v>369</v>
      </c>
      <c r="AG1" s="667"/>
      <c r="AH1" s="667"/>
      <c r="AI1" s="668"/>
      <c r="AK1" s="651" t="s">
        <v>410</v>
      </c>
      <c r="AL1" s="652"/>
      <c r="AM1" s="653"/>
      <c r="AN1" s="305"/>
      <c r="AO1" s="648" t="s">
        <v>370</v>
      </c>
      <c r="AP1" s="649"/>
      <c r="AQ1" s="649"/>
      <c r="AR1" s="649"/>
      <c r="AS1" s="650"/>
      <c r="AU1" s="660" t="s">
        <v>386</v>
      </c>
      <c r="AV1" s="661"/>
      <c r="AW1" s="661"/>
      <c r="AX1" s="662"/>
    </row>
    <row r="2" spans="1:51" ht="14.1" customHeight="1" thickBot="1">
      <c r="S2" s="676" t="s">
        <v>642</v>
      </c>
      <c r="T2" s="677"/>
      <c r="V2" s="530" t="s">
        <v>279</v>
      </c>
      <c r="W2" s="486"/>
      <c r="X2" s="487" t="s">
        <v>277</v>
      </c>
      <c r="Y2" s="486"/>
      <c r="Z2" s="486"/>
      <c r="AA2" s="488" t="s">
        <v>278</v>
      </c>
      <c r="AB2" s="486"/>
      <c r="AC2" s="489"/>
      <c r="AE2" s="181"/>
      <c r="AG2" s="216" t="s">
        <v>54</v>
      </c>
      <c r="AH2" s="216" t="s">
        <v>54</v>
      </c>
      <c r="AI2" s="216" t="s">
        <v>55</v>
      </c>
      <c r="AK2" s="316" t="s">
        <v>411</v>
      </c>
      <c r="AL2" s="317" t="s">
        <v>48</v>
      </c>
      <c r="AM2" s="318" t="s">
        <v>310</v>
      </c>
      <c r="AN2" s="305"/>
      <c r="AO2" s="542"/>
      <c r="AQ2" s="214" t="s">
        <v>52</v>
      </c>
      <c r="AR2" s="197" t="s">
        <v>52</v>
      </c>
      <c r="AS2" s="543" t="s">
        <v>56</v>
      </c>
      <c r="AU2" s="261" t="s">
        <v>339</v>
      </c>
      <c r="AV2" s="203" t="s">
        <v>365</v>
      </c>
      <c r="AW2" s="265" t="s">
        <v>337</v>
      </c>
      <c r="AX2" s="255" t="s">
        <v>365</v>
      </c>
    </row>
    <row r="3" spans="1:51" ht="14.1" customHeight="1" thickBot="1">
      <c r="A3" s="167"/>
      <c r="B3" s="168"/>
      <c r="C3" s="205"/>
      <c r="D3" s="669" t="s">
        <v>574</v>
      </c>
      <c r="E3" s="670"/>
      <c r="F3" s="670"/>
      <c r="G3" s="670"/>
      <c r="H3" s="670"/>
      <c r="I3" s="670"/>
      <c r="J3" s="670"/>
      <c r="K3" s="670"/>
      <c r="L3" s="671" t="s">
        <v>573</v>
      </c>
      <c r="M3" s="672"/>
      <c r="N3" s="672"/>
      <c r="O3" s="672"/>
      <c r="P3" s="672"/>
      <c r="Q3" s="672"/>
      <c r="R3" s="673"/>
      <c r="S3" s="508" t="s">
        <v>640</v>
      </c>
      <c r="T3" s="556" t="s">
        <v>674</v>
      </c>
      <c r="V3" s="531" t="s">
        <v>275</v>
      </c>
      <c r="W3" s="236" t="s">
        <v>159</v>
      </c>
      <c r="X3" s="654" t="str">
        <f>AfA_Art</f>
        <v>Linear 2%</v>
      </c>
      <c r="Y3" s="655"/>
      <c r="Z3" s="374" t="s">
        <v>452</v>
      </c>
      <c r="AA3" s="372" t="s">
        <v>457</v>
      </c>
      <c r="AB3" s="208" t="s">
        <v>480</v>
      </c>
      <c r="AC3" s="532" t="s">
        <v>63</v>
      </c>
      <c r="AE3" s="181"/>
      <c r="AG3" s="217" t="s">
        <v>65</v>
      </c>
      <c r="AH3" s="217" t="s">
        <v>65</v>
      </c>
      <c r="AI3" s="217" t="s">
        <v>54</v>
      </c>
      <c r="AK3" s="319" t="s">
        <v>407</v>
      </c>
      <c r="AL3" s="318" t="s">
        <v>309</v>
      </c>
      <c r="AM3" s="318" t="s">
        <v>412</v>
      </c>
      <c r="AN3" s="305"/>
      <c r="AO3" s="544" t="s">
        <v>387</v>
      </c>
      <c r="AP3" s="214" t="s">
        <v>387</v>
      </c>
      <c r="AQ3" s="215" t="s">
        <v>66</v>
      </c>
      <c r="AR3" s="198" t="s">
        <v>66</v>
      </c>
      <c r="AS3" s="545" t="s">
        <v>67</v>
      </c>
      <c r="AU3" s="262" t="s">
        <v>340</v>
      </c>
      <c r="AV3" s="204" t="s">
        <v>371</v>
      </c>
      <c r="AW3" s="266" t="s">
        <v>375</v>
      </c>
      <c r="AX3" s="256" t="s">
        <v>374</v>
      </c>
    </row>
    <row r="4" spans="1:51" ht="14.1" customHeight="1">
      <c r="A4" s="169"/>
      <c r="B4" s="170"/>
      <c r="C4" s="206"/>
      <c r="D4" s="477" t="s">
        <v>70</v>
      </c>
      <c r="E4" s="212" t="s">
        <v>58</v>
      </c>
      <c r="F4" s="208" t="s">
        <v>61</v>
      </c>
      <c r="G4" s="471" t="s">
        <v>72</v>
      </c>
      <c r="H4" s="358" t="s">
        <v>448</v>
      </c>
      <c r="I4" s="342" t="s">
        <v>60</v>
      </c>
      <c r="J4" s="472" t="s">
        <v>59</v>
      </c>
      <c r="K4" s="212" t="s">
        <v>636</v>
      </c>
      <c r="L4" s="515" t="s">
        <v>70</v>
      </c>
      <c r="M4" s="513" t="s">
        <v>58</v>
      </c>
      <c r="N4" s="513" t="s">
        <v>695</v>
      </c>
      <c r="O4" s="514" t="s">
        <v>572</v>
      </c>
      <c r="P4" s="513" t="s">
        <v>570</v>
      </c>
      <c r="Q4" s="513" t="s">
        <v>60</v>
      </c>
      <c r="R4" s="562" t="s">
        <v>59</v>
      </c>
      <c r="S4" s="508" t="s">
        <v>25</v>
      </c>
      <c r="T4" s="490" t="s">
        <v>71</v>
      </c>
      <c r="V4" s="531" t="s">
        <v>85</v>
      </c>
      <c r="W4" s="236" t="s">
        <v>62</v>
      </c>
      <c r="X4" s="225" t="s">
        <v>50</v>
      </c>
      <c r="Y4" s="207" t="s">
        <v>454</v>
      </c>
      <c r="Z4" s="374" t="s">
        <v>453</v>
      </c>
      <c r="AA4" s="372" t="s">
        <v>456</v>
      </c>
      <c r="AB4" s="208" t="s">
        <v>481</v>
      </c>
      <c r="AC4" s="471" t="s">
        <v>76</v>
      </c>
      <c r="AD4" s="207" t="s">
        <v>64</v>
      </c>
      <c r="AE4" s="181"/>
      <c r="AF4" s="249" t="s">
        <v>362</v>
      </c>
      <c r="AG4" s="217" t="s">
        <v>78</v>
      </c>
      <c r="AH4" s="217" t="s">
        <v>78</v>
      </c>
      <c r="AI4" s="217" t="s">
        <v>79</v>
      </c>
      <c r="AK4" s="319" t="s">
        <v>413</v>
      </c>
      <c r="AL4" s="318" t="s">
        <v>414</v>
      </c>
      <c r="AM4" s="318" t="s">
        <v>415</v>
      </c>
      <c r="AN4" s="305"/>
      <c r="AO4" s="546" t="s">
        <v>333</v>
      </c>
      <c r="AP4" s="215" t="s">
        <v>333</v>
      </c>
      <c r="AQ4" s="215" t="s">
        <v>80</v>
      </c>
      <c r="AR4" s="198" t="s">
        <v>210</v>
      </c>
      <c r="AS4" s="545" t="s">
        <v>81</v>
      </c>
      <c r="AU4" s="262" t="s">
        <v>82</v>
      </c>
      <c r="AV4" s="204" t="s">
        <v>372</v>
      </c>
      <c r="AW4" s="266" t="s">
        <v>376</v>
      </c>
      <c r="AX4" s="256" t="s">
        <v>378</v>
      </c>
    </row>
    <row r="5" spans="1:51" ht="14.1" customHeight="1">
      <c r="A5" s="201"/>
      <c r="B5" s="202"/>
      <c r="C5" s="473" t="s">
        <v>306</v>
      </c>
      <c r="D5" s="477" t="s">
        <v>629</v>
      </c>
      <c r="E5" s="212" t="s">
        <v>71</v>
      </c>
      <c r="F5" s="208" t="s">
        <v>73</v>
      </c>
      <c r="G5" s="471" t="s">
        <v>25</v>
      </c>
      <c r="H5" s="358" t="s">
        <v>60</v>
      </c>
      <c r="I5" s="342" t="s">
        <v>633</v>
      </c>
      <c r="J5" s="212" t="s">
        <v>60</v>
      </c>
      <c r="K5" s="212" t="s">
        <v>351</v>
      </c>
      <c r="L5" s="515" t="s">
        <v>569</v>
      </c>
      <c r="M5" s="513" t="s">
        <v>569</v>
      </c>
      <c r="N5" s="513" t="s">
        <v>569</v>
      </c>
      <c r="O5" s="514" t="s">
        <v>569</v>
      </c>
      <c r="P5" s="513" t="s">
        <v>583</v>
      </c>
      <c r="Q5" s="513" t="s">
        <v>503</v>
      </c>
      <c r="R5" s="563" t="s">
        <v>60</v>
      </c>
      <c r="S5" s="508" t="s">
        <v>456</v>
      </c>
      <c r="T5" s="490" t="s">
        <v>456</v>
      </c>
      <c r="V5" s="531" t="s">
        <v>332</v>
      </c>
      <c r="W5" s="236" t="s">
        <v>74</v>
      </c>
      <c r="X5" s="212" t="s">
        <v>75</v>
      </c>
      <c r="Y5" s="208" t="s">
        <v>50</v>
      </c>
      <c r="Z5" s="374" t="s">
        <v>50</v>
      </c>
      <c r="AA5" s="372" t="s">
        <v>458</v>
      </c>
      <c r="AB5" s="208" t="s">
        <v>482</v>
      </c>
      <c r="AC5" s="471" t="s">
        <v>89</v>
      </c>
      <c r="AD5" s="208" t="s">
        <v>77</v>
      </c>
      <c r="AE5" s="181"/>
      <c r="AF5" s="250" t="s">
        <v>280</v>
      </c>
      <c r="AG5" s="228" t="s">
        <v>229</v>
      </c>
      <c r="AH5" s="228" t="s">
        <v>91</v>
      </c>
      <c r="AI5" s="228" t="s">
        <v>91</v>
      </c>
      <c r="AK5" s="319" t="s">
        <v>416</v>
      </c>
      <c r="AL5" s="318" t="s">
        <v>417</v>
      </c>
      <c r="AM5" s="319" t="s">
        <v>416</v>
      </c>
      <c r="AN5" s="305"/>
      <c r="AO5" s="546" t="s">
        <v>334</v>
      </c>
      <c r="AP5" s="245" t="s">
        <v>50</v>
      </c>
      <c r="AQ5" s="215" t="s">
        <v>92</v>
      </c>
      <c r="AR5" s="198" t="s">
        <v>323</v>
      </c>
      <c r="AS5" s="545" t="s">
        <v>93</v>
      </c>
      <c r="AU5" s="263">
        <f>Investment</f>
        <v>1148200</v>
      </c>
      <c r="AV5" s="204" t="s">
        <v>53</v>
      </c>
      <c r="AW5" s="266" t="s">
        <v>377</v>
      </c>
      <c r="AX5" s="256" t="s">
        <v>53</v>
      </c>
    </row>
    <row r="6" spans="1:51" ht="14.1" customHeight="1" thickBot="1">
      <c r="A6" s="210" t="s">
        <v>352</v>
      </c>
      <c r="B6" s="171" t="s">
        <v>49</v>
      </c>
      <c r="C6" s="474" t="s">
        <v>307</v>
      </c>
      <c r="D6" s="477" t="s">
        <v>111</v>
      </c>
      <c r="E6" s="212" t="s">
        <v>25</v>
      </c>
      <c r="F6" s="208" t="s">
        <v>84</v>
      </c>
      <c r="G6" s="471" t="s">
        <v>83</v>
      </c>
      <c r="H6" s="359" t="s">
        <v>449</v>
      </c>
      <c r="I6" s="341" t="s">
        <v>111</v>
      </c>
      <c r="J6" s="213" t="s">
        <v>83</v>
      </c>
      <c r="K6" s="213" t="s">
        <v>111</v>
      </c>
      <c r="L6" s="515" t="s">
        <v>111</v>
      </c>
      <c r="M6" s="513" t="s">
        <v>111</v>
      </c>
      <c r="N6" s="513" t="s">
        <v>111</v>
      </c>
      <c r="O6" s="514" t="s">
        <v>111</v>
      </c>
      <c r="P6" s="513" t="s">
        <v>571</v>
      </c>
      <c r="Q6" s="513" t="s">
        <v>83</v>
      </c>
      <c r="R6" s="563" t="s">
        <v>83</v>
      </c>
      <c r="S6" s="509" t="s">
        <v>641</v>
      </c>
      <c r="T6" s="491"/>
      <c r="V6" s="533" t="s">
        <v>331</v>
      </c>
      <c r="W6" s="237" t="s">
        <v>86</v>
      </c>
      <c r="X6" s="212" t="s">
        <v>87</v>
      </c>
      <c r="Y6" s="208" t="s">
        <v>455</v>
      </c>
      <c r="Z6" s="375" t="s">
        <v>88</v>
      </c>
      <c r="AA6" s="372" t="s">
        <v>50</v>
      </c>
      <c r="AB6" s="189" t="s">
        <v>445</v>
      </c>
      <c r="AC6" s="540" t="s">
        <v>94</v>
      </c>
      <c r="AD6" s="209" t="s">
        <v>90</v>
      </c>
      <c r="AE6" s="181"/>
      <c r="AF6" s="250" t="s">
        <v>281</v>
      </c>
      <c r="AG6" s="217" t="s">
        <v>25</v>
      </c>
      <c r="AH6" s="217" t="s">
        <v>25</v>
      </c>
      <c r="AI6" s="220" t="s">
        <v>25</v>
      </c>
      <c r="AK6" s="326">
        <f>Parameter!B81</f>
        <v>4.1759999999999999E-2</v>
      </c>
      <c r="AL6" s="320" t="s">
        <v>418</v>
      </c>
      <c r="AM6" s="326">
        <f>AK6</f>
        <v>4.1759999999999999E-2</v>
      </c>
      <c r="AN6" s="305"/>
      <c r="AO6" s="547" t="s">
        <v>88</v>
      </c>
      <c r="AP6" s="246" t="s">
        <v>88</v>
      </c>
      <c r="AQ6" s="238" t="s">
        <v>51</v>
      </c>
      <c r="AR6" s="199" t="s">
        <v>70</v>
      </c>
      <c r="AS6" s="548" t="s">
        <v>51</v>
      </c>
      <c r="AU6" s="264" t="s">
        <v>304</v>
      </c>
      <c r="AV6" s="269" t="s">
        <v>373</v>
      </c>
      <c r="AW6" s="267" t="s">
        <v>301</v>
      </c>
      <c r="AX6" s="257" t="s">
        <v>373</v>
      </c>
      <c r="AY6" s="223" t="s">
        <v>49</v>
      </c>
    </row>
    <row r="7" spans="1:51" ht="21.6" customHeight="1">
      <c r="A7" s="171">
        <f>Start</f>
        <v>0</v>
      </c>
      <c r="B7" s="172" t="s">
        <v>677</v>
      </c>
      <c r="C7" s="475">
        <f>Eigenkapital</f>
        <v>100000</v>
      </c>
      <c r="D7" s="478">
        <f>AuszahungKredit1</f>
        <v>998200</v>
      </c>
      <c r="E7" s="226">
        <f>-Kreditzins1</f>
        <v>-2.8500000000000001E-2</v>
      </c>
      <c r="F7" s="209" t="s">
        <v>25</v>
      </c>
      <c r="G7" s="235"/>
      <c r="H7" s="361" t="s">
        <v>478</v>
      </c>
      <c r="I7" s="341" t="s">
        <v>675</v>
      </c>
      <c r="J7" s="175"/>
      <c r="K7" s="510"/>
      <c r="L7" s="483">
        <f>Förderkredit</f>
        <v>50000</v>
      </c>
      <c r="M7" s="558" t="s">
        <v>25</v>
      </c>
      <c r="N7" s="558" t="s">
        <v>25</v>
      </c>
      <c r="O7" s="558" t="s">
        <v>25</v>
      </c>
      <c r="P7" s="568" t="s">
        <v>682</v>
      </c>
      <c r="Q7" s="564"/>
      <c r="R7" s="565"/>
      <c r="S7" s="470"/>
      <c r="T7" s="495">
        <f>L7+D7</f>
        <v>1048200</v>
      </c>
      <c r="V7" s="534"/>
      <c r="W7" s="235"/>
      <c r="X7" s="174"/>
      <c r="Y7" s="337"/>
      <c r="Z7" s="376" t="s">
        <v>478</v>
      </c>
      <c r="AA7" s="235"/>
      <c r="AB7" s="227">
        <f>AFABasis</f>
        <v>924560</v>
      </c>
      <c r="AC7" s="535" t="s">
        <v>364</v>
      </c>
      <c r="AD7" s="528"/>
      <c r="AE7" s="181"/>
      <c r="AF7" s="219"/>
      <c r="AG7" s="218">
        <f>+Kreditbedarf+Förderkredit</f>
        <v>1048200</v>
      </c>
      <c r="AH7" s="218">
        <f>-(Finanzbedarf+Förderkredit+Eigenkapital)</f>
        <v>-1198200</v>
      </c>
      <c r="AI7" s="219"/>
      <c r="AK7" s="319" t="s">
        <v>91</v>
      </c>
      <c r="AL7" s="320"/>
      <c r="AM7" s="320" t="s">
        <v>91</v>
      </c>
      <c r="AN7" s="305"/>
      <c r="AO7" s="549">
        <f>Grundstück</f>
        <v>200000</v>
      </c>
      <c r="AP7" s="247">
        <f>Gebäude+FittingUp</f>
        <v>840000</v>
      </c>
      <c r="AQ7" s="239">
        <f>AO7+AP7</f>
        <v>1040000</v>
      </c>
      <c r="AR7" s="200">
        <f>(AQ7-D7)*(D7&gt;0)</f>
        <v>41800</v>
      </c>
      <c r="AS7" s="550">
        <f>AQ7+R7+AI7-Investment</f>
        <v>-108200</v>
      </c>
      <c r="AU7" s="176">
        <f>AS7/$AU$5</f>
        <v>-9.4234453927887124E-2</v>
      </c>
      <c r="AV7" s="268">
        <f>(1+AS7/$AU$5)-1</f>
        <v>-9.4234453927887096E-2</v>
      </c>
      <c r="AW7" s="258">
        <f t="shared" ref="AW7:AW38" si="0">IF(Eigenkapital&gt;0,AS7/Eigenkapital,"n/a")</f>
        <v>-1.0820000000000001</v>
      </c>
      <c r="AX7" s="258">
        <f>IF(Eigenkapital&gt;0,(1+AW7)-1,"n/a")</f>
        <v>-1.0820000000000001</v>
      </c>
      <c r="AY7" s="224" t="str">
        <f t="shared" ref="AY7:AY38" si="1">B7</f>
        <v>Start</v>
      </c>
    </row>
    <row r="8" spans="1:51" ht="14.1" customHeight="1">
      <c r="A8" s="171">
        <v>1</v>
      </c>
      <c r="B8" s="172">
        <f>YEAR(Parameter!B3)</f>
        <v>2026</v>
      </c>
      <c r="C8" s="476"/>
      <c r="D8" s="478">
        <f>D7</f>
        <v>998200</v>
      </c>
      <c r="E8" s="174">
        <f t="shared" ref="E8:E38" si="2">IF(A8&lt;=LaufzeitKredit1,-Kreditzins1,IF(A8&lt;=FinZeitraum,-Kreditzins2,0))</f>
        <v>-2.8500000000000001E-2</v>
      </c>
      <c r="F8" s="227">
        <f t="shared" ref="F8:F38" si="3">IF(A8&lt;=LaufzeitKredit1,-Annuität_Kredit_1_p.a.,IF(A8&lt;=FinZeitraum,-Annuität_Kredit_2_p.a.,0))</f>
        <v>-56370.63685151816</v>
      </c>
      <c r="G8" s="235">
        <f>D8*E8</f>
        <v>-28448.7</v>
      </c>
      <c r="H8" s="360">
        <v>0</v>
      </c>
      <c r="I8" s="173">
        <f>-F8+G8+H8</f>
        <v>27921.93685151816</v>
      </c>
      <c r="J8" s="173">
        <f>J7+I8</f>
        <v>27921.93685151816</v>
      </c>
      <c r="K8" s="226">
        <f>IF(D8&gt;0,-I8/D$8,0)</f>
        <v>-2.7972286968060669E-2</v>
      </c>
      <c r="L8" s="483">
        <f>Förderkredit</f>
        <v>50000</v>
      </c>
      <c r="M8" s="559">
        <f t="shared" ref="M8:M38" si="4">IF(A8&lt;=Förderzeit,-Förderzins,0)</f>
        <v>-2.8500000000000001E-2</v>
      </c>
      <c r="N8" s="557">
        <f t="shared" ref="N8:N38" si="5">IF(ISNUMBER(Annuität_Förderkredit),-Annuität_Förderkredit,0)*(A8&lt;=Förderzeit)</f>
        <v>-7077.8192732031939</v>
      </c>
      <c r="O8" s="235">
        <f t="shared" ref="O8:O13" si="6">IF(L8&gt;0,L8*M8,0)</f>
        <v>-1425</v>
      </c>
      <c r="P8" s="427">
        <f t="shared" ref="P8:P38" si="7">IF(A8&lt;=Anzahl_Tilgungszuschüsse,Tilgungszuschuss,0)</f>
        <v>1500</v>
      </c>
      <c r="Q8" s="427">
        <f>-N8+O8+P8</f>
        <v>7152.8192732031939</v>
      </c>
      <c r="R8" s="566">
        <f>Q8</f>
        <v>7152.8192732031939</v>
      </c>
      <c r="S8" s="512">
        <f>Q8+I8</f>
        <v>35074.756124721353</v>
      </c>
      <c r="T8" s="496">
        <f>S8/T$7</f>
        <v>3.3461892887541839E-2</v>
      </c>
      <c r="V8" s="534">
        <f>-Unterhaltskosten_p.a.-Instanhaltungskosten_am_Anfang</f>
        <v>-4564</v>
      </c>
      <c r="W8" s="235">
        <f>Parameter!B40</f>
        <v>23520</v>
      </c>
      <c r="X8" s="174">
        <f>IF(AfA_Art=AfA!B$15,VLOOKUP(A8,AfA_Tabelle,2),IF(AfA_Art=AfA!C$15,VLOOKUP(A8,AfA_Tabelle,3),IF(AfA_Art=AfA!D$15,VLOOKUP(A8,AfA_Tabelle,4),IF(AfA_Art=AfA!E$15,VLOOKUP(A8,AfA_Tabelle,5),IF(AfA_Art=AfA!F$15,VLOOKUP(A8,AfA_Tabelle,6),"tbd")))))</f>
        <v>0.02</v>
      </c>
      <c r="Y8" s="337">
        <f>IF(OR(AfA_Art=AfA!B$15,AfA_Art=AfA!C$15),-X8*AB7,IF(OR(AfA_Art=AfA!D$15,AfA_Art=AfA!E$15,AfA_Art=AfA!F$15),AFABasis*-X8,"check"))</f>
        <v>-18491.2</v>
      </c>
      <c r="Z8" s="377">
        <v>0</v>
      </c>
      <c r="AA8" s="235">
        <f>Y8+Z8</f>
        <v>-18491.2</v>
      </c>
      <c r="AB8" s="337">
        <f>IF(AB7+AA8&gt;=0,AB7+AA8,0)</f>
        <v>906068.8</v>
      </c>
      <c r="AC8" s="536">
        <f>W8+V8+G8+AA8+O9-Disagio</f>
        <v>-29205.044650713709</v>
      </c>
      <c r="AD8" s="529">
        <f t="shared" ref="AD8:AD38" si="8">-Grenzsteuersatz</f>
        <v>-0.42</v>
      </c>
      <c r="AE8" s="181"/>
      <c r="AF8" s="219">
        <f>AC8*AD8</f>
        <v>12266.118753299757</v>
      </c>
      <c r="AG8" s="218">
        <f t="shared" ref="AG8:AG38" si="9">W8+V8+G8+Q8</f>
        <v>-2339.8807267968068</v>
      </c>
      <c r="AH8" s="218">
        <f t="shared" ref="AH8:AH36" si="10">AG8+AF8</f>
        <v>9926.2380265029497</v>
      </c>
      <c r="AI8" s="219">
        <f t="shared" ref="AI8:AI38" si="11">+AH8+AI7</f>
        <v>9926.2380265029497</v>
      </c>
      <c r="AK8" s="321">
        <f>AH8+(AH8/2)*AK6</f>
        <v>10133.497876496331</v>
      </c>
      <c r="AL8" s="322">
        <f t="shared" ref="AL8:AL38" si="12">+AI8+R8</f>
        <v>17079.057299706143</v>
      </c>
      <c r="AM8" s="322">
        <f>+AK8+R8</f>
        <v>17286.317149699524</v>
      </c>
      <c r="AN8" s="305"/>
      <c r="AO8" s="549">
        <f t="shared" ref="AO8:AO38" si="13">AO7*(1+Wertzuwachst_des_Grundstücks_p.a.)</f>
        <v>202000</v>
      </c>
      <c r="AP8" s="247">
        <f t="shared" ref="AP8:AP38" si="14">AP7*(1-Wertverlust_des_Gebäudes_p.a.+Baukostensteigerung_p.a)</f>
        <v>844199.99999999988</v>
      </c>
      <c r="AQ8" s="239">
        <f>AP8+AO8</f>
        <v>1046199.9999999999</v>
      </c>
      <c r="AR8" s="200">
        <f t="shared" ref="AR8:AR38" si="15">(AQ8-D8)</f>
        <v>47999.999999999884</v>
      </c>
      <c r="AS8" s="550">
        <f t="shared" ref="AS8:AS37" si="16">AQ8+AL8-Investment</f>
        <v>-84920.942700294079</v>
      </c>
      <c r="AU8" s="176">
        <f>AS8/$AU$5</f>
        <v>-7.3960061574894681E-2</v>
      </c>
      <c r="AV8" s="176">
        <f t="shared" ref="AV8:AV38" si="17">(1+AU8)^(1/A8)-1</f>
        <v>-7.3960061574894653E-2</v>
      </c>
      <c r="AW8" s="258">
        <f t="shared" si="0"/>
        <v>-0.84920942700294078</v>
      </c>
      <c r="AX8" s="378">
        <f t="shared" ref="AX8:AX38" si="18">IF(Eigenkapital&gt;0,(1+AW8)^(1/A8)-1,"n/a")</f>
        <v>-0.84920942700294078</v>
      </c>
      <c r="AY8" s="224">
        <f t="shared" si="1"/>
        <v>2026</v>
      </c>
    </row>
    <row r="9" spans="1:51" ht="14.1" customHeight="1">
      <c r="A9" s="171">
        <v>2</v>
      </c>
      <c r="B9" s="172">
        <f t="shared" ref="B9:B38" si="19">B8+1</f>
        <v>2027</v>
      </c>
      <c r="C9" s="476"/>
      <c r="D9" s="478">
        <f t="shared" ref="D9:D38" si="20">(A9&lt;=FinZeitraum)*(D8-I8)</f>
        <v>970278.06314848189</v>
      </c>
      <c r="E9" s="174">
        <f t="shared" si="2"/>
        <v>-2.8500000000000001E-2</v>
      </c>
      <c r="F9" s="173">
        <f t="shared" si="3"/>
        <v>-56370.63685151816</v>
      </c>
      <c r="G9" s="235">
        <f t="shared" ref="G9:G38" si="21">D9*E9</f>
        <v>-27652.924799731736</v>
      </c>
      <c r="H9" s="360">
        <v>0</v>
      </c>
      <c r="I9" s="173">
        <f>-F9+G9+H9</f>
        <v>28717.712051786424</v>
      </c>
      <c r="J9" s="173">
        <f t="shared" ref="J9:J37" si="22">J8+I9</f>
        <v>56639.64890330458</v>
      </c>
      <c r="K9" s="226">
        <f t="shared" ref="K9:K38" si="23">IF(D9&gt;0,-I9/D$8,0)</f>
        <v>-2.8769497146650395E-2</v>
      </c>
      <c r="L9" s="483">
        <f t="shared" ref="L9:L11" si="24">IF(L8-Q8&lt;0,0,L8-Q8)</f>
        <v>42847.180726796803</v>
      </c>
      <c r="M9" s="559">
        <f t="shared" si="4"/>
        <v>-2.8500000000000001E-2</v>
      </c>
      <c r="N9" s="557">
        <f t="shared" si="5"/>
        <v>-7077.8192732031939</v>
      </c>
      <c r="O9" s="235">
        <f t="shared" si="6"/>
        <v>-1221.1446507137089</v>
      </c>
      <c r="P9" s="427">
        <f t="shared" si="7"/>
        <v>1500</v>
      </c>
      <c r="Q9" s="427">
        <f t="shared" ref="Q9:Q38" si="25">-N9+O9+P9</f>
        <v>7356.674622489485</v>
      </c>
      <c r="R9" s="566">
        <f t="shared" ref="R9:R38" si="26">R8+Q9</f>
        <v>14509.493895692678</v>
      </c>
      <c r="S9" s="512">
        <f t="shared" ref="S9:S38" si="27">Q9+I9</f>
        <v>36074.386674275913</v>
      </c>
      <c r="T9" s="496">
        <f t="shared" ref="T9:T38" si="28">S9/T$7</f>
        <v>3.4415556834836783E-2</v>
      </c>
      <c r="V9" s="534">
        <f>-Unterhaltskosten_p.a.*(1+Unterhaltskostensteigerung)^2</f>
        <v>-2115.9225000000001</v>
      </c>
      <c r="W9" s="235">
        <f t="shared" ref="W9:W38" si="29">W8*(1+Mietpreissteigerung_p.a.)</f>
        <v>23814</v>
      </c>
      <c r="X9" s="174">
        <f>IF(AfA_Art=AfA!B$15,VLOOKUP(A9,AfA_Tabelle,2),IF(AfA_Art=AfA!C$15,VLOOKUP(A9,AfA_Tabelle,3),IF(AfA_Art=AfA!D$15,VLOOKUP(A9,AfA_Tabelle,4),IF(AfA_Art=AfA!E$15,VLOOKUP(A9,AfA_Tabelle,5),IF(AfA_Art=AfA!F$15,VLOOKUP(A9,AfA_Tabelle,6),"tbd")))))</f>
        <v>0.02</v>
      </c>
      <c r="Y9" s="337">
        <f>IF(OR(AfA_Art=AfA!B$15,AfA_Art=AfA!C$15),-X9*AB8,IF(OR(AfA_Art=AfA!D$15,AfA_Art=AfA!E$15,AfA_Art=AfA!F$15),AFABasis*-X9,"check"))</f>
        <v>-18491.2</v>
      </c>
      <c r="Z9" s="377">
        <v>0</v>
      </c>
      <c r="AA9" s="235">
        <f>Y9+Z9</f>
        <v>-18491.2</v>
      </c>
      <c r="AB9" s="337">
        <f t="shared" ref="AB9:AB12" si="30">IF(AB8+AA9&gt;=0,AB8+AA9,0)</f>
        <v>887577.60000000009</v>
      </c>
      <c r="AC9" s="536">
        <f t="shared" ref="AC9:AC38" si="31">W9+V9+G9+AA9+O9</f>
        <v>-25667.191950445445</v>
      </c>
      <c r="AD9" s="529">
        <f t="shared" si="8"/>
        <v>-0.42</v>
      </c>
      <c r="AE9" s="181"/>
      <c r="AF9" s="219">
        <f>AC9*AD9</f>
        <v>10780.220619187086</v>
      </c>
      <c r="AG9" s="218">
        <f t="shared" si="9"/>
        <v>1401.8273227577483</v>
      </c>
      <c r="AH9" s="218">
        <f t="shared" si="10"/>
        <v>12182.047941944835</v>
      </c>
      <c r="AI9" s="219">
        <f t="shared" si="11"/>
        <v>22108.285968447784</v>
      </c>
      <c r="AK9" s="321">
        <f t="shared" ref="AK9:AK38" si="32">AK8*(1+AK$6)+(AH9/2)*AK$6+AH9</f>
        <v>22993.081850791459</v>
      </c>
      <c r="AL9" s="322">
        <f t="shared" si="12"/>
        <v>36617.779864140466</v>
      </c>
      <c r="AM9" s="322">
        <f t="shared" ref="AM9:AM38" si="33">+AK9+R9</f>
        <v>37502.575746484137</v>
      </c>
      <c r="AN9" s="305"/>
      <c r="AO9" s="549">
        <f t="shared" si="13"/>
        <v>204020</v>
      </c>
      <c r="AP9" s="247">
        <f t="shared" si="14"/>
        <v>848420.99999999977</v>
      </c>
      <c r="AQ9" s="239">
        <f>AP9+AO9</f>
        <v>1052440.9999999998</v>
      </c>
      <c r="AR9" s="200">
        <f t="shared" si="15"/>
        <v>82162.936851517879</v>
      </c>
      <c r="AS9" s="550">
        <f t="shared" si="16"/>
        <v>-59141.220135859679</v>
      </c>
      <c r="AU9" s="176">
        <f>AS9/$AU$5</f>
        <v>-5.1507768799738445E-2</v>
      </c>
      <c r="AV9" s="176">
        <f t="shared" si="17"/>
        <v>-2.6094341735165005E-2</v>
      </c>
      <c r="AW9" s="258">
        <f t="shared" si="0"/>
        <v>-0.59141220135859685</v>
      </c>
      <c r="AX9" s="378">
        <f t="shared" si="18"/>
        <v>-0.36079127146025047</v>
      </c>
      <c r="AY9" s="224">
        <f t="shared" si="1"/>
        <v>2027</v>
      </c>
    </row>
    <row r="10" spans="1:51" ht="14.1" customHeight="1">
      <c r="A10" s="171">
        <v>3</v>
      </c>
      <c r="B10" s="172">
        <f t="shared" si="19"/>
        <v>2028</v>
      </c>
      <c r="C10" s="476"/>
      <c r="D10" s="478">
        <f t="shared" si="20"/>
        <v>941560.35109669552</v>
      </c>
      <c r="E10" s="174">
        <f t="shared" si="2"/>
        <v>-2.8500000000000001E-2</v>
      </c>
      <c r="F10" s="173">
        <f t="shared" si="3"/>
        <v>-56370.63685151816</v>
      </c>
      <c r="G10" s="235">
        <f t="shared" si="21"/>
        <v>-26834.470006255822</v>
      </c>
      <c r="H10" s="360">
        <v>0</v>
      </c>
      <c r="I10" s="173">
        <f t="shared" ref="I10:I38" si="34">-F10+G10+H10</f>
        <v>29536.166845262338</v>
      </c>
      <c r="J10" s="173">
        <f t="shared" si="22"/>
        <v>86175.815748566922</v>
      </c>
      <c r="K10" s="226">
        <f t="shared" si="23"/>
        <v>-2.9589427815329934E-2</v>
      </c>
      <c r="L10" s="483">
        <f t="shared" si="24"/>
        <v>35490.506104307322</v>
      </c>
      <c r="M10" s="559">
        <f t="shared" si="4"/>
        <v>-2.8500000000000001E-2</v>
      </c>
      <c r="N10" s="557">
        <f t="shared" si="5"/>
        <v>-7077.8192732031939</v>
      </c>
      <c r="O10" s="235">
        <f t="shared" si="6"/>
        <v>-1011.4794239727587</v>
      </c>
      <c r="P10" s="427">
        <f t="shared" si="7"/>
        <v>1500</v>
      </c>
      <c r="Q10" s="427">
        <f t="shared" si="25"/>
        <v>7566.339849230435</v>
      </c>
      <c r="R10" s="566">
        <f t="shared" si="26"/>
        <v>22075.833744923111</v>
      </c>
      <c r="S10" s="512">
        <f t="shared" si="27"/>
        <v>37102.506694492775</v>
      </c>
      <c r="T10" s="496">
        <f t="shared" si="28"/>
        <v>3.5396400204629627E-2</v>
      </c>
      <c r="V10" s="534">
        <f t="shared" ref="V10:V38" si="35">V9*(1+Unterhaltskostensteigerung)</f>
        <v>-2142.3715312499999</v>
      </c>
      <c r="W10" s="235">
        <f>W9*(1+Mietpreissteigerung_p.a.)</f>
        <v>24111.674999999999</v>
      </c>
      <c r="X10" s="174">
        <f>IF(AfA_Art=AfA!B$15,VLOOKUP(A10,AfA_Tabelle,2),IF(AfA_Art=AfA!C$15,VLOOKUP(A10,AfA_Tabelle,3),IF(AfA_Art=AfA!D$15,VLOOKUP(A10,AfA_Tabelle,4),IF(AfA_Art=AfA!E$15,VLOOKUP(A10,AfA_Tabelle,5),IF(AfA_Art=AfA!F$15,VLOOKUP(A10,AfA_Tabelle,6),"tbd")))))</f>
        <v>0.02</v>
      </c>
      <c r="Y10" s="337">
        <f>IF(OR(AfA_Art=AfA!B$15,AfA_Art=AfA!C$15),-X10*AB9,IF(OR(AfA_Art=AfA!D$15,AfA_Art=AfA!E$15,AfA_Art=AfA!F$15),AFABasis*-X10,"check"))</f>
        <v>-18491.2</v>
      </c>
      <c r="Z10" s="377">
        <v>0</v>
      </c>
      <c r="AA10" s="235">
        <f t="shared" ref="AA10:AA38" si="36">Y10+Z10</f>
        <v>-18491.2</v>
      </c>
      <c r="AB10" s="337">
        <f t="shared" si="30"/>
        <v>869086.40000000014</v>
      </c>
      <c r="AC10" s="536">
        <f t="shared" si="31"/>
        <v>-24367.845961478582</v>
      </c>
      <c r="AD10" s="529">
        <f t="shared" si="8"/>
        <v>-0.42</v>
      </c>
      <c r="AE10" s="181"/>
      <c r="AF10" s="219">
        <f t="shared" ref="AF10:AF38" si="37">AC10*AD10</f>
        <v>10234.495303821004</v>
      </c>
      <c r="AG10" s="218">
        <f t="shared" si="9"/>
        <v>2701.1733117246131</v>
      </c>
      <c r="AH10" s="218">
        <f t="shared" si="10"/>
        <v>12935.668615545617</v>
      </c>
      <c r="AI10" s="219">
        <f t="shared" si="11"/>
        <v>35043.9545839934</v>
      </c>
      <c r="AK10" s="321">
        <f t="shared" si="32"/>
        <v>37159.038325118723</v>
      </c>
      <c r="AL10" s="322">
        <f t="shared" si="12"/>
        <v>57119.788328916511</v>
      </c>
      <c r="AM10" s="322">
        <f t="shared" si="33"/>
        <v>59234.872070041834</v>
      </c>
      <c r="AN10" s="305"/>
      <c r="AO10" s="549">
        <f t="shared" si="13"/>
        <v>206060.2</v>
      </c>
      <c r="AP10" s="247">
        <f t="shared" si="14"/>
        <v>852663.10499999963</v>
      </c>
      <c r="AQ10" s="239">
        <f t="shared" ref="AQ10:AQ38" si="38">AP10+AO10</f>
        <v>1058723.3049999997</v>
      </c>
      <c r="AR10" s="200">
        <f t="shared" si="15"/>
        <v>117162.95390330418</v>
      </c>
      <c r="AS10" s="550">
        <f t="shared" si="16"/>
        <v>-32356.906671083765</v>
      </c>
      <c r="AU10" s="176">
        <f t="shared" ref="AU10:AU38" si="39">AS10/$AU$5</f>
        <v>-2.8180549269364016E-2</v>
      </c>
      <c r="AV10" s="176">
        <f t="shared" si="17"/>
        <v>-9.4831625197210334E-3</v>
      </c>
      <c r="AW10" s="258">
        <f t="shared" si="0"/>
        <v>-0.32356906671083763</v>
      </c>
      <c r="AX10" s="378">
        <f t="shared" si="18"/>
        <v>-0.12217525317482947</v>
      </c>
      <c r="AY10" s="224">
        <f t="shared" si="1"/>
        <v>2028</v>
      </c>
    </row>
    <row r="11" spans="1:51" ht="14.1" customHeight="1">
      <c r="A11" s="171">
        <v>4</v>
      </c>
      <c r="B11" s="172">
        <f t="shared" si="19"/>
        <v>2029</v>
      </c>
      <c r="C11" s="476"/>
      <c r="D11" s="478">
        <f t="shared" si="20"/>
        <v>912024.18425143324</v>
      </c>
      <c r="E11" s="174">
        <f t="shared" si="2"/>
        <v>-2.8500000000000001E-2</v>
      </c>
      <c r="F11" s="173">
        <f t="shared" si="3"/>
        <v>-56370.63685151816</v>
      </c>
      <c r="G11" s="235">
        <f t="shared" si="21"/>
        <v>-25992.689251165848</v>
      </c>
      <c r="H11" s="360">
        <v>0</v>
      </c>
      <c r="I11" s="173">
        <f>-F11+G11-H11</f>
        <v>30377.947600352312</v>
      </c>
      <c r="J11" s="173">
        <f t="shared" si="22"/>
        <v>116553.76334891924</v>
      </c>
      <c r="K11" s="226">
        <f t="shared" si="23"/>
        <v>-3.0432726508066832E-2</v>
      </c>
      <c r="L11" s="483">
        <f t="shared" si="24"/>
        <v>27924.166255076889</v>
      </c>
      <c r="M11" s="559">
        <f t="shared" si="4"/>
        <v>-2.8500000000000001E-2</v>
      </c>
      <c r="N11" s="557">
        <f t="shared" si="5"/>
        <v>-7077.8192732031939</v>
      </c>
      <c r="O11" s="235">
        <f t="shared" si="6"/>
        <v>-795.83873826969136</v>
      </c>
      <c r="P11" s="427">
        <f t="shared" si="7"/>
        <v>1500</v>
      </c>
      <c r="Q11" s="427">
        <f t="shared" si="25"/>
        <v>7781.9805349335029</v>
      </c>
      <c r="R11" s="566">
        <f t="shared" si="26"/>
        <v>29857.814279856615</v>
      </c>
      <c r="S11" s="512">
        <f t="shared" si="27"/>
        <v>38159.928135285816</v>
      </c>
      <c r="T11" s="496">
        <f t="shared" si="28"/>
        <v>3.640519761046157E-2</v>
      </c>
      <c r="V11" s="534">
        <f t="shared" si="35"/>
        <v>-2169.1511753906248</v>
      </c>
      <c r="W11" s="235">
        <f t="shared" si="29"/>
        <v>24413.070937499997</v>
      </c>
      <c r="X11" s="174">
        <f>IF(AfA_Art=AfA!B$15,VLOOKUP(A11,AfA_Tabelle,2),IF(AfA_Art=AfA!C$15,VLOOKUP(A11,AfA_Tabelle,3),IF(AfA_Art=AfA!D$15,VLOOKUP(A11,AfA_Tabelle,4),IF(AfA_Art=AfA!E$15,VLOOKUP(A11,AfA_Tabelle,5),IF(AfA_Art=AfA!F$15,VLOOKUP(A11,AfA_Tabelle,6),"tbd")))))</f>
        <v>0.02</v>
      </c>
      <c r="Y11" s="337">
        <f>IF(OR(AfA_Art=AfA!B$15,AfA_Art=AfA!C$15),-X11*AB10,IF(OR(AfA_Art=AfA!D$15,AfA_Art=AfA!E$15,AfA_Art=AfA!F$15),AFABasis*-X11,"check"))</f>
        <v>-18491.2</v>
      </c>
      <c r="Z11" s="377">
        <v>0</v>
      </c>
      <c r="AA11" s="235">
        <f t="shared" si="36"/>
        <v>-18491.2</v>
      </c>
      <c r="AB11" s="337">
        <f t="shared" si="30"/>
        <v>850595.20000000019</v>
      </c>
      <c r="AC11" s="536">
        <f t="shared" si="31"/>
        <v>-23035.808227326168</v>
      </c>
      <c r="AD11" s="529">
        <f t="shared" si="8"/>
        <v>-0.42</v>
      </c>
      <c r="AE11" s="181"/>
      <c r="AF11" s="219">
        <f t="shared" si="37"/>
        <v>9675.03945547699</v>
      </c>
      <c r="AG11" s="218">
        <f t="shared" si="9"/>
        <v>4033.2110458770285</v>
      </c>
      <c r="AH11" s="218">
        <f t="shared" si="10"/>
        <v>13708.250501354018</v>
      </c>
      <c r="AI11" s="219">
        <f t="shared" si="11"/>
        <v>48752.205085347421</v>
      </c>
      <c r="AK11" s="321">
        <f t="shared" si="32"/>
        <v>52705.278537397971</v>
      </c>
      <c r="AL11" s="322">
        <f t="shared" si="12"/>
        <v>78610.019365204033</v>
      </c>
      <c r="AM11" s="322">
        <f t="shared" si="33"/>
        <v>82563.092817254583</v>
      </c>
      <c r="AN11" s="305"/>
      <c r="AO11" s="549">
        <f t="shared" si="13"/>
        <v>208120.80200000003</v>
      </c>
      <c r="AP11" s="247">
        <f t="shared" si="14"/>
        <v>856926.4205249995</v>
      </c>
      <c r="AQ11" s="239">
        <f t="shared" si="38"/>
        <v>1065047.2225249996</v>
      </c>
      <c r="AR11" s="200">
        <f t="shared" si="15"/>
        <v>153023.0382735664</v>
      </c>
      <c r="AS11" s="550">
        <f t="shared" si="16"/>
        <v>-4542.7581097963266</v>
      </c>
      <c r="AU11" s="176">
        <f t="shared" si="39"/>
        <v>-3.956417096147297E-3</v>
      </c>
      <c r="AV11" s="176">
        <f t="shared" si="17"/>
        <v>-9.9057516101075382E-4</v>
      </c>
      <c r="AW11" s="258">
        <f t="shared" si="0"/>
        <v>-4.5427581097963264E-2</v>
      </c>
      <c r="AX11" s="378">
        <f t="shared" si="18"/>
        <v>-1.155565646296175E-2</v>
      </c>
      <c r="AY11" s="224">
        <f t="shared" si="1"/>
        <v>2029</v>
      </c>
    </row>
    <row r="12" spans="1:51" ht="14.1" customHeight="1">
      <c r="A12" s="171">
        <v>5</v>
      </c>
      <c r="B12" s="172">
        <f t="shared" si="19"/>
        <v>2030</v>
      </c>
      <c r="C12" s="476"/>
      <c r="D12" s="478">
        <f t="shared" si="20"/>
        <v>881646.23665108089</v>
      </c>
      <c r="E12" s="174">
        <f t="shared" si="2"/>
        <v>-2.8500000000000001E-2</v>
      </c>
      <c r="F12" s="173">
        <f t="shared" si="3"/>
        <v>-56370.63685151816</v>
      </c>
      <c r="G12" s="235">
        <f t="shared" si="21"/>
        <v>-25126.917744555805</v>
      </c>
      <c r="H12" s="360">
        <v>0</v>
      </c>
      <c r="I12" s="173">
        <f t="shared" si="34"/>
        <v>31243.719106962355</v>
      </c>
      <c r="J12" s="173">
        <f t="shared" si="22"/>
        <v>147797.4824558816</v>
      </c>
      <c r="K12" s="226">
        <f t="shared" si="23"/>
        <v>-3.1300059213546741E-2</v>
      </c>
      <c r="L12" s="483">
        <f>IF(L11-Q11&lt;0,0,L11-Q11)</f>
        <v>20142.185720143385</v>
      </c>
      <c r="M12" s="559">
        <f t="shared" si="4"/>
        <v>-2.8500000000000001E-2</v>
      </c>
      <c r="N12" s="557">
        <f t="shared" si="5"/>
        <v>-7077.8192732031939</v>
      </c>
      <c r="O12" s="235">
        <f t="shared" si="6"/>
        <v>-574.05229302408645</v>
      </c>
      <c r="P12" s="427">
        <f t="shared" si="7"/>
        <v>1500</v>
      </c>
      <c r="Q12" s="427">
        <f t="shared" si="25"/>
        <v>8003.7669801791071</v>
      </c>
      <c r="R12" s="566">
        <f t="shared" si="26"/>
        <v>37861.581260035724</v>
      </c>
      <c r="S12" s="512">
        <f t="shared" si="27"/>
        <v>39247.486087141464</v>
      </c>
      <c r="T12" s="496">
        <f t="shared" si="28"/>
        <v>3.7442745742359722E-2</v>
      </c>
      <c r="V12" s="534">
        <f t="shared" si="35"/>
        <v>-2196.2655650830075</v>
      </c>
      <c r="W12" s="235">
        <f t="shared" si="29"/>
        <v>24718.234324218745</v>
      </c>
      <c r="X12" s="174">
        <f>IF(AfA_Art=AfA!B$15,VLOOKUP(A12,AfA_Tabelle,2),IF(AfA_Art=AfA!C$15,VLOOKUP(A12,AfA_Tabelle,3),IF(AfA_Art=AfA!D$15,VLOOKUP(A12,AfA_Tabelle,4),IF(AfA_Art=AfA!E$15,VLOOKUP(A12,AfA_Tabelle,5),IF(AfA_Art=AfA!F$15,VLOOKUP(A12,AfA_Tabelle,6),"tbd")))))</f>
        <v>0.02</v>
      </c>
      <c r="Y12" s="337">
        <f>IF(OR(AfA_Art=AfA!B$15,AfA_Art=AfA!C$15),-X12*AB11,IF(OR(AfA_Art=AfA!D$15,AfA_Art=AfA!E$15,AfA_Art=AfA!F$15),AFABasis*-X12,"check"))</f>
        <v>-18491.2</v>
      </c>
      <c r="Z12" s="377">
        <v>0</v>
      </c>
      <c r="AA12" s="235">
        <f t="shared" si="36"/>
        <v>-18491.2</v>
      </c>
      <c r="AB12" s="337">
        <f t="shared" si="30"/>
        <v>832104.00000000023</v>
      </c>
      <c r="AC12" s="536">
        <f t="shared" si="31"/>
        <v>-21670.201278444158</v>
      </c>
      <c r="AD12" s="529">
        <f t="shared" si="8"/>
        <v>-0.42</v>
      </c>
      <c r="AE12" s="181"/>
      <c r="AF12" s="219">
        <f t="shared" si="37"/>
        <v>9101.4845369465456</v>
      </c>
      <c r="AG12" s="218">
        <f t="shared" si="9"/>
        <v>5398.8179947590379</v>
      </c>
      <c r="AH12" s="218">
        <f t="shared" si="10"/>
        <v>14500.302531705584</v>
      </c>
      <c r="AI12" s="219">
        <f t="shared" si="11"/>
        <v>63252.507617053008</v>
      </c>
      <c r="AK12" s="321">
        <f t="shared" si="32"/>
        <v>69709.319817687312</v>
      </c>
      <c r="AL12" s="322">
        <f t="shared" si="12"/>
        <v>101114.08887708874</v>
      </c>
      <c r="AM12" s="322">
        <f t="shared" si="33"/>
        <v>107570.90107772304</v>
      </c>
      <c r="AN12" s="305"/>
      <c r="AO12" s="549">
        <f t="shared" si="13"/>
        <v>210202.01002000002</v>
      </c>
      <c r="AP12" s="247">
        <f t="shared" si="14"/>
        <v>861211.05262762436</v>
      </c>
      <c r="AQ12" s="239">
        <f t="shared" si="38"/>
        <v>1071413.0626476244</v>
      </c>
      <c r="AR12" s="200">
        <f t="shared" si="15"/>
        <v>189766.82599654351</v>
      </c>
      <c r="AS12" s="550">
        <f t="shared" si="16"/>
        <v>24327.151524713263</v>
      </c>
      <c r="AU12" s="176">
        <f t="shared" si="39"/>
        <v>2.1187207389577828E-2</v>
      </c>
      <c r="AV12" s="176">
        <f t="shared" si="17"/>
        <v>4.201979516570864E-3</v>
      </c>
      <c r="AW12" s="258">
        <f t="shared" si="0"/>
        <v>0.24327151524713264</v>
      </c>
      <c r="AX12" s="378">
        <f t="shared" si="18"/>
        <v>4.4511429825233817E-2</v>
      </c>
      <c r="AY12" s="224">
        <f t="shared" si="1"/>
        <v>2030</v>
      </c>
    </row>
    <row r="13" spans="1:51" ht="14.1" customHeight="1">
      <c r="A13" s="171">
        <v>6</v>
      </c>
      <c r="B13" s="172">
        <f t="shared" si="19"/>
        <v>2031</v>
      </c>
      <c r="C13" s="476"/>
      <c r="D13" s="478">
        <f t="shared" si="20"/>
        <v>850402.51754411857</v>
      </c>
      <c r="E13" s="174">
        <f t="shared" si="2"/>
        <v>-2.8500000000000001E-2</v>
      </c>
      <c r="F13" s="173">
        <f t="shared" si="3"/>
        <v>-56370.63685151816</v>
      </c>
      <c r="G13" s="235">
        <f t="shared" si="21"/>
        <v>-24236.471750007378</v>
      </c>
      <c r="H13" s="360">
        <v>0</v>
      </c>
      <c r="I13" s="173">
        <f t="shared" si="34"/>
        <v>32134.165101510782</v>
      </c>
      <c r="J13" s="173">
        <f t="shared" si="22"/>
        <v>179931.6475573924</v>
      </c>
      <c r="K13" s="226">
        <f t="shared" si="23"/>
        <v>-3.2192110901132824E-2</v>
      </c>
      <c r="L13" s="483">
        <f>IF(L12-Q12&lt;0,0,L12-Q12)</f>
        <v>12138.418739964278</v>
      </c>
      <c r="M13" s="559">
        <f t="shared" si="4"/>
        <v>-2.8500000000000001E-2</v>
      </c>
      <c r="N13" s="557">
        <f t="shared" si="5"/>
        <v>-7077.8192732031939</v>
      </c>
      <c r="O13" s="235">
        <f t="shared" si="6"/>
        <v>-345.94493408898194</v>
      </c>
      <c r="P13" s="427">
        <f t="shared" si="7"/>
        <v>0</v>
      </c>
      <c r="Q13" s="427">
        <f t="shared" si="25"/>
        <v>6731.8743391142116</v>
      </c>
      <c r="R13" s="566">
        <f t="shared" si="26"/>
        <v>44593.455599149936</v>
      </c>
      <c r="S13" s="512">
        <f t="shared" si="27"/>
        <v>38866.039440624991</v>
      </c>
      <c r="T13" s="496">
        <f t="shared" si="28"/>
        <v>3.7078839382393619E-2</v>
      </c>
      <c r="V13" s="534">
        <f t="shared" si="35"/>
        <v>-2223.7188846465451</v>
      </c>
      <c r="W13" s="235">
        <f t="shared" si="29"/>
        <v>25027.212253271478</v>
      </c>
      <c r="X13" s="174">
        <f>IF(AfA_Art=AfA!B$15,VLOOKUP(A13,AfA_Tabelle,2),IF(AfA_Art=AfA!C$15,VLOOKUP(A13,AfA_Tabelle,3),IF(AfA_Art=AfA!D$15,VLOOKUP(A13,AfA_Tabelle,4),IF(AfA_Art=AfA!E$15,VLOOKUP(A13,AfA_Tabelle,5),IF(AfA_Art=AfA!F$15,VLOOKUP(A13,AfA_Tabelle,6),"tbd")))))</f>
        <v>0.02</v>
      </c>
      <c r="Y13" s="337">
        <f>IF(OR(AfA_Art=AfA!B$15,AfA_Art=AfA!C$15),-X13*AB12,IF(OR(AfA_Art=AfA!D$15,AfA_Art=AfA!E$15,AfA_Art=AfA!F$15),AFABasis*-X13,"check"))</f>
        <v>-18491.2</v>
      </c>
      <c r="Z13" s="377">
        <v>0</v>
      </c>
      <c r="AA13" s="235">
        <f t="shared" si="36"/>
        <v>-18491.2</v>
      </c>
      <c r="AB13" s="337">
        <f>IF(AB12+AA13&gt;=0,AB12+AA13,0)</f>
        <v>813612.80000000028</v>
      </c>
      <c r="AC13" s="536">
        <f t="shared" si="31"/>
        <v>-20270.123315471425</v>
      </c>
      <c r="AD13" s="529">
        <f t="shared" si="8"/>
        <v>-0.42</v>
      </c>
      <c r="AE13" s="181"/>
      <c r="AF13" s="219">
        <f t="shared" si="37"/>
        <v>8513.4517924979973</v>
      </c>
      <c r="AG13" s="218">
        <f t="shared" si="9"/>
        <v>5298.8959577317682</v>
      </c>
      <c r="AH13" s="218">
        <f t="shared" si="10"/>
        <v>13812.347750229765</v>
      </c>
      <c r="AI13" s="219">
        <f t="shared" si="11"/>
        <v>77064.855367282769</v>
      </c>
      <c r="AK13" s="321">
        <f t="shared" si="32"/>
        <v>86721.130584528495</v>
      </c>
      <c r="AL13" s="322">
        <f t="shared" si="12"/>
        <v>121658.31096643271</v>
      </c>
      <c r="AM13" s="322">
        <f t="shared" si="33"/>
        <v>131314.58618367842</v>
      </c>
      <c r="AN13" s="305"/>
      <c r="AO13" s="549">
        <f t="shared" si="13"/>
        <v>212304.03012020001</v>
      </c>
      <c r="AP13" s="247">
        <f t="shared" si="14"/>
        <v>865517.10789076239</v>
      </c>
      <c r="AQ13" s="239">
        <f t="shared" si="38"/>
        <v>1077821.1380109624</v>
      </c>
      <c r="AR13" s="200">
        <f t="shared" si="15"/>
        <v>227418.62046684383</v>
      </c>
      <c r="AS13" s="550">
        <f t="shared" si="16"/>
        <v>51279.448977395194</v>
      </c>
      <c r="AU13" s="176">
        <f t="shared" si="39"/>
        <v>4.4660728947391738E-2</v>
      </c>
      <c r="AV13" s="176">
        <f t="shared" si="17"/>
        <v>7.3086070139523063E-3</v>
      </c>
      <c r="AW13" s="258">
        <f t="shared" si="0"/>
        <v>0.51279448977395192</v>
      </c>
      <c r="AX13" s="378">
        <f t="shared" si="18"/>
        <v>7.1428815541379365E-2</v>
      </c>
      <c r="AY13" s="224">
        <f t="shared" si="1"/>
        <v>2031</v>
      </c>
    </row>
    <row r="14" spans="1:51" ht="14.1" customHeight="1">
      <c r="A14" s="171">
        <v>7</v>
      </c>
      <c r="B14" s="172">
        <f t="shared" si="19"/>
        <v>2032</v>
      </c>
      <c r="C14" s="476"/>
      <c r="D14" s="478">
        <f t="shared" si="20"/>
        <v>818268.35244260775</v>
      </c>
      <c r="E14" s="174">
        <f t="shared" si="2"/>
        <v>-2.8500000000000001E-2</v>
      </c>
      <c r="F14" s="173">
        <f t="shared" si="3"/>
        <v>-56370.63685151816</v>
      </c>
      <c r="G14" s="235">
        <f t="shared" si="21"/>
        <v>-23320.648044614321</v>
      </c>
      <c r="H14" s="360">
        <v>0</v>
      </c>
      <c r="I14" s="173">
        <f t="shared" si="34"/>
        <v>33049.988806903842</v>
      </c>
      <c r="J14" s="173">
        <f t="shared" si="22"/>
        <v>212981.63636429625</v>
      </c>
      <c r="K14" s="226">
        <f t="shared" si="23"/>
        <v>-3.3109586061815112E-2</v>
      </c>
      <c r="L14" s="483">
        <f>IF(L13-Q13&lt;0,0,L13-Q13)</f>
        <v>5406.5444008500663</v>
      </c>
      <c r="M14" s="559">
        <f t="shared" si="4"/>
        <v>-2.8500000000000001E-2</v>
      </c>
      <c r="N14" s="557">
        <f t="shared" si="5"/>
        <v>-7077.8192732031939</v>
      </c>
      <c r="O14" s="235">
        <f>IF(L14&gt;0,L14*M14,0)</f>
        <v>-154.08651542422689</v>
      </c>
      <c r="P14" s="427">
        <f t="shared" si="7"/>
        <v>0</v>
      </c>
      <c r="Q14" s="427">
        <f t="shared" si="25"/>
        <v>6923.7327577789674</v>
      </c>
      <c r="R14" s="566">
        <f t="shared" si="26"/>
        <v>51517.188356928906</v>
      </c>
      <c r="S14" s="512">
        <f t="shared" si="27"/>
        <v>39973.721564682812</v>
      </c>
      <c r="T14" s="496">
        <f t="shared" si="28"/>
        <v>3.8135586304791844E-2</v>
      </c>
      <c r="V14" s="534">
        <f t="shared" si="35"/>
        <v>-2251.515370704627</v>
      </c>
      <c r="W14" s="235">
        <f t="shared" si="29"/>
        <v>25340.052406437371</v>
      </c>
      <c r="X14" s="174">
        <f>IF(AfA_Art=AfA!B$15,VLOOKUP(A14,AfA_Tabelle,2),IF(AfA_Art=AfA!C$15,VLOOKUP(A14,AfA_Tabelle,3),IF(AfA_Art=AfA!D$15,VLOOKUP(A14,AfA_Tabelle,4),IF(AfA_Art=AfA!E$15,VLOOKUP(A14,AfA_Tabelle,5),IF(AfA_Art=AfA!F$15,VLOOKUP(A14,AfA_Tabelle,6),"tbd")))))</f>
        <v>0.02</v>
      </c>
      <c r="Y14" s="337">
        <f>IF(OR(AfA_Art=AfA!B$15,AfA_Art=AfA!C$15),-X14*RBWnach6Jahren*(A14&gt;=7),IF(OR(AfA_Art=AfA!D$15,AfA_Art=AfA!E$15,AfA_Art=AfA!F$15),AFABasis*-X14,"check"))</f>
        <v>-18491.2</v>
      </c>
      <c r="Z14" s="377">
        <v>0</v>
      </c>
      <c r="AA14" s="235">
        <f t="shared" si="36"/>
        <v>-18491.2</v>
      </c>
      <c r="AB14" s="337">
        <f>IF(AB13+AA14&gt;=0,AB13+AA14,0)</f>
        <v>795121.60000000033</v>
      </c>
      <c r="AC14" s="536">
        <f t="shared" si="31"/>
        <v>-18877.397524305805</v>
      </c>
      <c r="AD14" s="529">
        <f t="shared" si="8"/>
        <v>-0.42</v>
      </c>
      <c r="AE14" s="181"/>
      <c r="AF14" s="219">
        <f t="shared" si="37"/>
        <v>7928.5069602084377</v>
      </c>
      <c r="AG14" s="218">
        <f t="shared" si="9"/>
        <v>6691.6217488973907</v>
      </c>
      <c r="AH14" s="218">
        <f t="shared" si="10"/>
        <v>14620.128709105829</v>
      </c>
      <c r="AI14" s="219">
        <f t="shared" si="11"/>
        <v>91684.984076388602</v>
      </c>
      <c r="AK14" s="321">
        <f t="shared" si="32"/>
        <v>105268.00199429037</v>
      </c>
      <c r="AL14" s="322">
        <f t="shared" si="12"/>
        <v>143202.17243331752</v>
      </c>
      <c r="AM14" s="322">
        <f t="shared" si="33"/>
        <v>156785.19035121927</v>
      </c>
      <c r="AN14" s="305"/>
      <c r="AO14" s="549">
        <f t="shared" si="13"/>
        <v>214427.07042140202</v>
      </c>
      <c r="AP14" s="247">
        <f t="shared" si="14"/>
        <v>869844.69343021605</v>
      </c>
      <c r="AQ14" s="239">
        <f t="shared" si="38"/>
        <v>1084271.7638516182</v>
      </c>
      <c r="AR14" s="200">
        <f t="shared" si="15"/>
        <v>266003.41140901041</v>
      </c>
      <c r="AS14" s="550">
        <f t="shared" si="16"/>
        <v>79273.936284935568</v>
      </c>
      <c r="AU14" s="176">
        <f t="shared" si="39"/>
        <v>6.9041923258087071E-2</v>
      </c>
      <c r="AV14" s="176">
        <f t="shared" si="17"/>
        <v>9.5831771619374617E-3</v>
      </c>
      <c r="AW14" s="258">
        <f t="shared" si="0"/>
        <v>0.79273936284935564</v>
      </c>
      <c r="AX14" s="378">
        <f t="shared" si="18"/>
        <v>8.696794381202011E-2</v>
      </c>
      <c r="AY14" s="224">
        <f t="shared" si="1"/>
        <v>2032</v>
      </c>
    </row>
    <row r="15" spans="1:51" ht="14.1" customHeight="1">
      <c r="A15" s="171">
        <v>8</v>
      </c>
      <c r="B15" s="172">
        <f t="shared" si="19"/>
        <v>2033</v>
      </c>
      <c r="C15" s="476"/>
      <c r="D15" s="478">
        <f t="shared" si="20"/>
        <v>785218.36363570392</v>
      </c>
      <c r="E15" s="174">
        <f t="shared" si="2"/>
        <v>-2.8500000000000001E-2</v>
      </c>
      <c r="F15" s="173">
        <f t="shared" si="3"/>
        <v>-56370.63685151816</v>
      </c>
      <c r="G15" s="235">
        <f t="shared" si="21"/>
        <v>-22378.723363617562</v>
      </c>
      <c r="H15" s="360">
        <v>0</v>
      </c>
      <c r="I15" s="173">
        <f t="shared" si="34"/>
        <v>33991.913487900601</v>
      </c>
      <c r="J15" s="173">
        <f t="shared" si="22"/>
        <v>246973.54985219685</v>
      </c>
      <c r="K15" s="226">
        <f t="shared" si="23"/>
        <v>-3.4053209264576841E-2</v>
      </c>
      <c r="L15" s="483">
        <f t="shared" ref="L15:L38" si="40">IF(L14-Q14&lt;0,0,L14-Q14)</f>
        <v>0</v>
      </c>
      <c r="M15" s="559">
        <f t="shared" si="4"/>
        <v>-2.8500000000000001E-2</v>
      </c>
      <c r="N15" s="557">
        <f t="shared" si="5"/>
        <v>-7077.8192732031939</v>
      </c>
      <c r="O15" s="235">
        <f t="shared" ref="O15:O37" si="41">IF(L15&gt;0,L15*M15,0)</f>
        <v>0</v>
      </c>
      <c r="P15" s="427">
        <f t="shared" si="7"/>
        <v>0</v>
      </c>
      <c r="Q15" s="427">
        <f t="shared" si="25"/>
        <v>7077.8192732031939</v>
      </c>
      <c r="R15" s="566">
        <f t="shared" si="26"/>
        <v>58595.007630132102</v>
      </c>
      <c r="S15" s="512">
        <f t="shared" si="27"/>
        <v>41069.732761103798</v>
      </c>
      <c r="T15" s="496">
        <f t="shared" si="28"/>
        <v>3.9181198970715321E-2</v>
      </c>
      <c r="V15" s="534">
        <f t="shared" si="35"/>
        <v>-2279.6593128384347</v>
      </c>
      <c r="W15" s="235">
        <f t="shared" si="29"/>
        <v>25656.803061517836</v>
      </c>
      <c r="X15" s="174">
        <f>IF(AfA_Art=AfA!B$15,VLOOKUP(A15,AfA_Tabelle,2),IF(AfA_Art=AfA!C$15,VLOOKUP(A15,AfA_Tabelle,3),IF(AfA_Art=AfA!D$15,VLOOKUP(A15,AfA_Tabelle,4),IF(AfA_Art=AfA!E$15,VLOOKUP(A15,AfA_Tabelle,5),IF(AfA_Art=AfA!F$15,VLOOKUP(A15,AfA_Tabelle,6),"tbd")))))</f>
        <v>0.02</v>
      </c>
      <c r="Y15" s="337">
        <f>IF(OR(AfA_Art=AfA!B$15,AfA_Art=AfA!C$15),-X15*RBWnach6Jahren*(A15&gt;=7),IF(OR(AfA_Art=AfA!D$15,AfA_Art=AfA!E$15,AfA_Art=AfA!F$15),AFABasis*-X15,"check"))</f>
        <v>-18491.2</v>
      </c>
      <c r="Z15" s="377">
        <v>0</v>
      </c>
      <c r="AA15" s="235">
        <f t="shared" si="36"/>
        <v>-18491.2</v>
      </c>
      <c r="AB15" s="337">
        <f t="shared" ref="AB15:AB38" si="42">IF(AB14+AA15&gt;=0,AB14+AA15,0)</f>
        <v>776630.40000000037</v>
      </c>
      <c r="AC15" s="536">
        <f t="shared" si="31"/>
        <v>-17492.779614938161</v>
      </c>
      <c r="AD15" s="529">
        <f t="shared" si="8"/>
        <v>-0.42</v>
      </c>
      <c r="AE15" s="181"/>
      <c r="AF15" s="219">
        <f t="shared" si="37"/>
        <v>7346.9674382740277</v>
      </c>
      <c r="AG15" s="218">
        <f t="shared" si="9"/>
        <v>8076.2396582650335</v>
      </c>
      <c r="AH15" s="218">
        <f t="shared" si="10"/>
        <v>15423.207096539061</v>
      </c>
      <c r="AI15" s="219">
        <f t="shared" si="11"/>
        <v>107108.19117292766</v>
      </c>
      <c r="AK15" s="321">
        <f t="shared" si="32"/>
        <v>125409.23741828674</v>
      </c>
      <c r="AL15" s="322">
        <f t="shared" si="12"/>
        <v>165703.19880305976</v>
      </c>
      <c r="AM15" s="322">
        <f t="shared" si="33"/>
        <v>184004.24504841884</v>
      </c>
      <c r="AN15" s="305"/>
      <c r="AO15" s="549">
        <f t="shared" si="13"/>
        <v>216571.34112561605</v>
      </c>
      <c r="AP15" s="247">
        <f t="shared" si="14"/>
        <v>874193.91689736699</v>
      </c>
      <c r="AQ15" s="239">
        <f t="shared" si="38"/>
        <v>1090765.2580229831</v>
      </c>
      <c r="AR15" s="200">
        <f t="shared" si="15"/>
        <v>305546.89438727917</v>
      </c>
      <c r="AS15" s="550">
        <f t="shared" si="16"/>
        <v>108268.45682604285</v>
      </c>
      <c r="AU15" s="176">
        <f t="shared" si="39"/>
        <v>9.4294074922524687E-2</v>
      </c>
      <c r="AV15" s="176">
        <f t="shared" si="17"/>
        <v>1.1327358503730345E-2</v>
      </c>
      <c r="AW15" s="258">
        <f t="shared" si="0"/>
        <v>1.0826845682604285</v>
      </c>
      <c r="AX15" s="378">
        <f t="shared" si="18"/>
        <v>9.6043869804329107E-2</v>
      </c>
      <c r="AY15" s="224">
        <f t="shared" si="1"/>
        <v>2033</v>
      </c>
    </row>
    <row r="16" spans="1:51" ht="14.1" customHeight="1">
      <c r="A16" s="171">
        <v>9</v>
      </c>
      <c r="B16" s="172">
        <f t="shared" si="19"/>
        <v>2034</v>
      </c>
      <c r="C16" s="476"/>
      <c r="D16" s="478">
        <f t="shared" si="20"/>
        <v>751226.45014780329</v>
      </c>
      <c r="E16" s="174">
        <f t="shared" si="2"/>
        <v>-2.8500000000000001E-2</v>
      </c>
      <c r="F16" s="173">
        <f t="shared" si="3"/>
        <v>-56370.63685151816</v>
      </c>
      <c r="G16" s="235">
        <f t="shared" si="21"/>
        <v>-21409.953829212394</v>
      </c>
      <c r="H16" s="360">
        <v>0</v>
      </c>
      <c r="I16" s="173">
        <f t="shared" si="34"/>
        <v>34960.683022305762</v>
      </c>
      <c r="J16" s="173">
        <f t="shared" si="22"/>
        <v>281934.2328745026</v>
      </c>
      <c r="K16" s="226">
        <f t="shared" si="23"/>
        <v>-3.5023725728617276E-2</v>
      </c>
      <c r="L16" s="483">
        <f t="shared" si="40"/>
        <v>0</v>
      </c>
      <c r="M16" s="559">
        <f t="shared" si="4"/>
        <v>0</v>
      </c>
      <c r="N16" s="557">
        <f t="shared" si="5"/>
        <v>0</v>
      </c>
      <c r="O16" s="235">
        <f t="shared" si="41"/>
        <v>0</v>
      </c>
      <c r="P16" s="427">
        <f t="shared" si="7"/>
        <v>0</v>
      </c>
      <c r="Q16" s="427">
        <f t="shared" si="25"/>
        <v>0</v>
      </c>
      <c r="R16" s="566">
        <f t="shared" si="26"/>
        <v>58595.007630132102</v>
      </c>
      <c r="S16" s="512">
        <f t="shared" si="27"/>
        <v>34960.683022305762</v>
      </c>
      <c r="T16" s="496">
        <f t="shared" si="28"/>
        <v>3.3353065276002444E-2</v>
      </c>
      <c r="V16" s="534">
        <f t="shared" si="35"/>
        <v>-2308.1550542489149</v>
      </c>
      <c r="W16" s="235">
        <f t="shared" si="29"/>
        <v>25977.513099786807</v>
      </c>
      <c r="X16" s="174">
        <f>IF(AfA_Art=AfA!B$15,VLOOKUP(A16,AfA_Tabelle,2),IF(AfA_Art=AfA!C$15,VLOOKUP(A16,AfA_Tabelle,3),IF(AfA_Art=AfA!D$15,VLOOKUP(A16,AfA_Tabelle,4),IF(AfA_Art=AfA!E$15,VLOOKUP(A16,AfA_Tabelle,5),IF(AfA_Art=AfA!F$15,VLOOKUP(A16,AfA_Tabelle,6),"tbd")))))</f>
        <v>0.02</v>
      </c>
      <c r="Y16" s="337">
        <f>IF(OR(AfA_Art=AfA!B$15,AfA_Art=AfA!C$15),-X16*RBWnach6Jahren*(A16&gt;=7),IF(OR(AfA_Art=AfA!D$15,AfA_Art=AfA!E$15,AfA_Art=AfA!F$15),AFABasis*-X16,"check"))</f>
        <v>-18491.2</v>
      </c>
      <c r="Z16" s="377">
        <v>0</v>
      </c>
      <c r="AA16" s="235">
        <f t="shared" si="36"/>
        <v>-18491.2</v>
      </c>
      <c r="AB16" s="337">
        <f t="shared" si="42"/>
        <v>758139.20000000042</v>
      </c>
      <c r="AC16" s="536">
        <f t="shared" si="31"/>
        <v>-16231.795783674504</v>
      </c>
      <c r="AD16" s="529">
        <f t="shared" si="8"/>
        <v>-0.42</v>
      </c>
      <c r="AE16" s="181"/>
      <c r="AF16" s="219">
        <f t="shared" si="37"/>
        <v>6817.3542291432914</v>
      </c>
      <c r="AG16" s="218">
        <f t="shared" si="9"/>
        <v>2259.4042163254962</v>
      </c>
      <c r="AH16" s="218">
        <f t="shared" si="10"/>
        <v>9076.7584454687876</v>
      </c>
      <c r="AI16" s="219">
        <f t="shared" si="11"/>
        <v>116184.94961839645</v>
      </c>
      <c r="AK16" s="321">
        <f t="shared" si="32"/>
        <v>139912.60833468457</v>
      </c>
      <c r="AL16" s="322">
        <f t="shared" si="12"/>
        <v>174779.95724852855</v>
      </c>
      <c r="AM16" s="322">
        <f t="shared" si="33"/>
        <v>198507.61596481668</v>
      </c>
      <c r="AN16" s="305"/>
      <c r="AO16" s="549">
        <f t="shared" si="13"/>
        <v>218737.05453687222</v>
      </c>
      <c r="AP16" s="247">
        <f t="shared" si="14"/>
        <v>878564.88648185378</v>
      </c>
      <c r="AQ16" s="239">
        <f t="shared" si="38"/>
        <v>1097301.941018726</v>
      </c>
      <c r="AR16" s="200">
        <f t="shared" si="15"/>
        <v>346075.49087092269</v>
      </c>
      <c r="AS16" s="550">
        <f t="shared" si="16"/>
        <v>123881.89826725447</v>
      </c>
      <c r="AU16" s="176">
        <f t="shared" si="39"/>
        <v>0.10789226464662469</v>
      </c>
      <c r="AV16" s="176">
        <f t="shared" si="17"/>
        <v>1.1449420745564654E-2</v>
      </c>
      <c r="AW16" s="258">
        <f t="shared" si="0"/>
        <v>1.2388189826725446</v>
      </c>
      <c r="AX16" s="378">
        <f t="shared" si="18"/>
        <v>9.3681832179768332E-2</v>
      </c>
      <c r="AY16" s="224">
        <f t="shared" si="1"/>
        <v>2034</v>
      </c>
    </row>
    <row r="17" spans="1:51" ht="14.1" customHeight="1">
      <c r="A17" s="171">
        <v>10</v>
      </c>
      <c r="B17" s="172">
        <f t="shared" si="19"/>
        <v>2035</v>
      </c>
      <c r="C17" s="476"/>
      <c r="D17" s="478">
        <f t="shared" si="20"/>
        <v>716265.76712549757</v>
      </c>
      <c r="E17" s="174">
        <f t="shared" si="2"/>
        <v>-2.8500000000000001E-2</v>
      </c>
      <c r="F17" s="173">
        <f t="shared" si="3"/>
        <v>-56370.63685151816</v>
      </c>
      <c r="G17" s="235">
        <f t="shared" si="21"/>
        <v>-20413.574363076681</v>
      </c>
      <c r="H17" s="360">
        <v>0</v>
      </c>
      <c r="I17" s="173">
        <f t="shared" si="34"/>
        <v>35957.062488441479</v>
      </c>
      <c r="J17" s="173">
        <f t="shared" si="22"/>
        <v>317891.29536294407</v>
      </c>
      <c r="K17" s="226">
        <f t="shared" si="23"/>
        <v>-3.602190191188287E-2</v>
      </c>
      <c r="L17" s="483">
        <f t="shared" si="40"/>
        <v>0</v>
      </c>
      <c r="M17" s="559">
        <f t="shared" si="4"/>
        <v>0</v>
      </c>
      <c r="N17" s="557">
        <f t="shared" si="5"/>
        <v>0</v>
      </c>
      <c r="O17" s="235">
        <f t="shared" si="41"/>
        <v>0</v>
      </c>
      <c r="P17" s="427">
        <f t="shared" si="7"/>
        <v>0</v>
      </c>
      <c r="Q17" s="427">
        <f t="shared" si="25"/>
        <v>0</v>
      </c>
      <c r="R17" s="566">
        <f t="shared" si="26"/>
        <v>58595.007630132102</v>
      </c>
      <c r="S17" s="512">
        <f t="shared" si="27"/>
        <v>35957.062488441479</v>
      </c>
      <c r="T17" s="496">
        <f t="shared" si="28"/>
        <v>3.4303627636368517E-2</v>
      </c>
      <c r="V17" s="534">
        <f t="shared" si="35"/>
        <v>-2337.006992427026</v>
      </c>
      <c r="W17" s="235">
        <f t="shared" si="29"/>
        <v>26302.23201353414</v>
      </c>
      <c r="X17" s="174">
        <f>IF(AfA_Art=AfA!B$15,VLOOKUP(A17,AfA_Tabelle,2),IF(AfA_Art=AfA!C$15,VLOOKUP(A17,AfA_Tabelle,3),IF(AfA_Art=AfA!D$15,VLOOKUP(A17,AfA_Tabelle,4),IF(AfA_Art=AfA!E$15,VLOOKUP(A17,AfA_Tabelle,5),IF(AfA_Art=AfA!F$15,VLOOKUP(A17,AfA_Tabelle,6),"tbd")))))</f>
        <v>0.02</v>
      </c>
      <c r="Y17" s="337">
        <f>IF(OR(AfA_Art=AfA!B$15,AfA_Art=AfA!C$15),-X17*RBWnach6Jahren*(A17&gt;=7),IF(OR(AfA_Art=AfA!D$15,AfA_Art=AfA!E$15,AfA_Art=AfA!F$15),AFABasis*-X17,"check"))</f>
        <v>-18491.2</v>
      </c>
      <c r="Z17" s="377">
        <v>0</v>
      </c>
      <c r="AA17" s="235">
        <f t="shared" si="36"/>
        <v>-18491.2</v>
      </c>
      <c r="AB17" s="337">
        <f t="shared" si="42"/>
        <v>739648.00000000047</v>
      </c>
      <c r="AC17" s="536">
        <f t="shared" si="31"/>
        <v>-14939.549341969567</v>
      </c>
      <c r="AD17" s="529">
        <f t="shared" si="8"/>
        <v>-0.42</v>
      </c>
      <c r="AE17" s="181"/>
      <c r="AF17" s="219">
        <f t="shared" si="37"/>
        <v>6274.6107236272182</v>
      </c>
      <c r="AG17" s="218">
        <f t="shared" si="9"/>
        <v>3551.650658030434</v>
      </c>
      <c r="AH17" s="218">
        <f t="shared" si="10"/>
        <v>9826.2613816576522</v>
      </c>
      <c r="AI17" s="219">
        <f t="shared" si="11"/>
        <v>126011.2110000541</v>
      </c>
      <c r="AK17" s="321">
        <f t="shared" si="32"/>
        <v>155786.79257804767</v>
      </c>
      <c r="AL17" s="322">
        <f t="shared" si="12"/>
        <v>184606.21863018619</v>
      </c>
      <c r="AM17" s="322">
        <f t="shared" si="33"/>
        <v>214381.80020817977</v>
      </c>
      <c r="AN17" s="305"/>
      <c r="AO17" s="549">
        <f t="shared" si="13"/>
        <v>220924.42508224095</v>
      </c>
      <c r="AP17" s="247">
        <f t="shared" si="14"/>
        <v>882957.71091426292</v>
      </c>
      <c r="AQ17" s="239">
        <f t="shared" si="38"/>
        <v>1103882.1359965038</v>
      </c>
      <c r="AR17" s="200">
        <f t="shared" si="15"/>
        <v>387616.36887100618</v>
      </c>
      <c r="AS17" s="550">
        <f t="shared" si="16"/>
        <v>140288.35462669004</v>
      </c>
      <c r="AU17" s="176">
        <f t="shared" si="39"/>
        <v>0.12218111359230974</v>
      </c>
      <c r="AV17" s="176">
        <f t="shared" si="17"/>
        <v>1.1594118195442427E-2</v>
      </c>
      <c r="AW17" s="258">
        <f t="shared" si="0"/>
        <v>1.4028835462669005</v>
      </c>
      <c r="AX17" s="378">
        <f t="shared" si="18"/>
        <v>9.1624495260104855E-2</v>
      </c>
      <c r="AY17" s="224">
        <f t="shared" si="1"/>
        <v>2035</v>
      </c>
    </row>
    <row r="18" spans="1:51" ht="14.1" customHeight="1">
      <c r="A18" s="171">
        <v>11</v>
      </c>
      <c r="B18" s="172">
        <f t="shared" si="19"/>
        <v>2036</v>
      </c>
      <c r="C18" s="476"/>
      <c r="D18" s="478">
        <f t="shared" si="20"/>
        <v>680308.7046370561</v>
      </c>
      <c r="E18" s="174">
        <f t="shared" si="2"/>
        <v>-3.2500000000000001E-2</v>
      </c>
      <c r="F18" s="173">
        <f t="shared" si="3"/>
        <v>-58022.563180074467</v>
      </c>
      <c r="G18" s="235">
        <f t="shared" si="21"/>
        <v>-22110.032900704326</v>
      </c>
      <c r="H18" s="360">
        <v>0</v>
      </c>
      <c r="I18" s="173">
        <f t="shared" si="34"/>
        <v>35912.530279370141</v>
      </c>
      <c r="J18" s="173">
        <f t="shared" si="22"/>
        <v>353803.82564231422</v>
      </c>
      <c r="K18" s="226">
        <f t="shared" si="23"/>
        <v>-3.5977289400290664E-2</v>
      </c>
      <c r="L18" s="483">
        <f t="shared" si="40"/>
        <v>0</v>
      </c>
      <c r="M18" s="559">
        <f t="shared" si="4"/>
        <v>0</v>
      </c>
      <c r="N18" s="557">
        <f t="shared" si="5"/>
        <v>0</v>
      </c>
      <c r="O18" s="235">
        <f t="shared" si="41"/>
        <v>0</v>
      </c>
      <c r="P18" s="427">
        <f t="shared" si="7"/>
        <v>0</v>
      </c>
      <c r="Q18" s="427">
        <f t="shared" si="25"/>
        <v>0</v>
      </c>
      <c r="R18" s="566">
        <f t="shared" si="26"/>
        <v>58595.007630132102</v>
      </c>
      <c r="S18" s="512">
        <f t="shared" si="27"/>
        <v>35912.530279370141</v>
      </c>
      <c r="T18" s="496">
        <f t="shared" si="28"/>
        <v>3.4261143178181783E-2</v>
      </c>
      <c r="V18" s="534">
        <f t="shared" si="35"/>
        <v>-2366.2195798323637</v>
      </c>
      <c r="W18" s="235">
        <f t="shared" si="29"/>
        <v>26631.009913703314</v>
      </c>
      <c r="X18" s="174">
        <f>IF(AfA_Art=AfA!B$15,VLOOKUP(A18,AfA_Tabelle,2),IF(AfA_Art=AfA!C$15,VLOOKUP(A18,AfA_Tabelle,3),IF(AfA_Art=AfA!D$15,VLOOKUP(A18,AfA_Tabelle,4),IF(AfA_Art=AfA!E$15,VLOOKUP(A18,AfA_Tabelle,5),IF(AfA_Art=AfA!F$15,VLOOKUP(A18,AfA_Tabelle,6),"tbd")))))</f>
        <v>0.02</v>
      </c>
      <c r="Y18" s="337">
        <f>IF(OR(AfA_Art=AfA!B$15,AfA_Art=AfA!C$15),-X18*RBWnach6Jahren*(A18&gt;=7),IF(OR(AfA_Art=AfA!D$15,AfA_Art=AfA!E$15,AfA_Art=AfA!F$15),AFABasis*-X18,"check"))</f>
        <v>-18491.2</v>
      </c>
      <c r="Z18" s="377">
        <v>0</v>
      </c>
      <c r="AA18" s="235">
        <f t="shared" si="36"/>
        <v>-18491.2</v>
      </c>
      <c r="AB18" s="337">
        <f t="shared" si="42"/>
        <v>721156.80000000051</v>
      </c>
      <c r="AC18" s="536">
        <f t="shared" si="31"/>
        <v>-16336.442566833375</v>
      </c>
      <c r="AD18" s="529">
        <f t="shared" si="8"/>
        <v>-0.42</v>
      </c>
      <c r="AE18" s="181"/>
      <c r="AF18" s="219">
        <f t="shared" si="37"/>
        <v>6861.3058780700176</v>
      </c>
      <c r="AG18" s="218">
        <f t="shared" si="9"/>
        <v>2154.7574331666256</v>
      </c>
      <c r="AH18" s="218">
        <f t="shared" si="10"/>
        <v>9016.0633112366431</v>
      </c>
      <c r="AI18" s="219">
        <f t="shared" si="11"/>
        <v>135027.27431129073</v>
      </c>
      <c r="AK18" s="321">
        <f t="shared" si="32"/>
        <v>171496.76774928221</v>
      </c>
      <c r="AL18" s="322">
        <f t="shared" si="12"/>
        <v>193622.28194142284</v>
      </c>
      <c r="AM18" s="322">
        <f t="shared" si="33"/>
        <v>230091.77537941432</v>
      </c>
      <c r="AN18" s="305"/>
      <c r="AO18" s="549">
        <f t="shared" si="13"/>
        <v>223133.66933306336</v>
      </c>
      <c r="AP18" s="247">
        <f t="shared" si="14"/>
        <v>887372.49946883414</v>
      </c>
      <c r="AQ18" s="239">
        <f t="shared" si="38"/>
        <v>1110506.1688018974</v>
      </c>
      <c r="AR18" s="200">
        <f t="shared" si="15"/>
        <v>430197.46416484134</v>
      </c>
      <c r="AS18" s="550">
        <f t="shared" si="16"/>
        <v>155928.4507433204</v>
      </c>
      <c r="AU18" s="176">
        <f t="shared" si="39"/>
        <v>0.13580251763048284</v>
      </c>
      <c r="AV18" s="176">
        <f t="shared" si="17"/>
        <v>1.1643579850287633E-2</v>
      </c>
      <c r="AW18" s="258">
        <f t="shared" si="0"/>
        <v>1.559284507433204</v>
      </c>
      <c r="AX18" s="378">
        <f t="shared" si="18"/>
        <v>8.9185090949355894E-2</v>
      </c>
      <c r="AY18" s="224">
        <f t="shared" si="1"/>
        <v>2036</v>
      </c>
    </row>
    <row r="19" spans="1:51" ht="14.1" customHeight="1">
      <c r="A19" s="171">
        <v>12</v>
      </c>
      <c r="B19" s="172">
        <f t="shared" si="19"/>
        <v>2037</v>
      </c>
      <c r="C19" s="476"/>
      <c r="D19" s="478">
        <f t="shared" si="20"/>
        <v>644396.17435768596</v>
      </c>
      <c r="E19" s="174">
        <f t="shared" si="2"/>
        <v>-3.2500000000000001E-2</v>
      </c>
      <c r="F19" s="173">
        <f t="shared" si="3"/>
        <v>-58022.563180074467</v>
      </c>
      <c r="G19" s="235">
        <f t="shared" si="21"/>
        <v>-20942.875666624794</v>
      </c>
      <c r="H19" s="360">
        <v>0</v>
      </c>
      <c r="I19" s="173">
        <f t="shared" si="34"/>
        <v>37079.687513449673</v>
      </c>
      <c r="J19" s="173">
        <f t="shared" si="22"/>
        <v>390883.51315576391</v>
      </c>
      <c r="K19" s="226">
        <f t="shared" si="23"/>
        <v>-3.7146551305800114E-2</v>
      </c>
      <c r="L19" s="483">
        <f t="shared" si="40"/>
        <v>0</v>
      </c>
      <c r="M19" s="559">
        <f t="shared" si="4"/>
        <v>0</v>
      </c>
      <c r="N19" s="557">
        <f t="shared" si="5"/>
        <v>0</v>
      </c>
      <c r="O19" s="235">
        <f t="shared" si="41"/>
        <v>0</v>
      </c>
      <c r="P19" s="427">
        <f t="shared" si="7"/>
        <v>0</v>
      </c>
      <c r="Q19" s="427">
        <f t="shared" si="25"/>
        <v>0</v>
      </c>
      <c r="R19" s="566">
        <f t="shared" si="26"/>
        <v>58595.007630132102</v>
      </c>
      <c r="S19" s="512">
        <f t="shared" si="27"/>
        <v>37079.687513449673</v>
      </c>
      <c r="T19" s="496">
        <f t="shared" si="28"/>
        <v>3.5374630331472687E-2</v>
      </c>
      <c r="V19" s="534">
        <f t="shared" si="35"/>
        <v>-2395.7973245802682</v>
      </c>
      <c r="W19" s="235">
        <f t="shared" si="29"/>
        <v>26963.897537624605</v>
      </c>
      <c r="X19" s="174">
        <f>IF(AfA_Art=AfA!B$15,VLOOKUP(A19,AfA_Tabelle,2),IF(AfA_Art=AfA!C$15,VLOOKUP(A19,AfA_Tabelle,3),IF(AfA_Art=AfA!D$15,VLOOKUP(A19,AfA_Tabelle,4),IF(AfA_Art=AfA!E$15,VLOOKUP(A19,AfA_Tabelle,5),IF(AfA_Art=AfA!F$15,VLOOKUP(A19,AfA_Tabelle,6),"tbd")))))</f>
        <v>0.02</v>
      </c>
      <c r="Y19" s="337">
        <f>IF(OR(AfA_Art=AfA!B$15,AfA_Art=AfA!C$15),-X19*RBWnach6Jahren*(A19&gt;=7),IF(OR(AfA_Art=AfA!D$15,AfA_Art=AfA!E$15,AfA_Art=AfA!F$15),AFABasis*-X19,"check"))</f>
        <v>-18491.2</v>
      </c>
      <c r="Z19" s="377">
        <v>0</v>
      </c>
      <c r="AA19" s="235">
        <f t="shared" si="36"/>
        <v>-18491.2</v>
      </c>
      <c r="AB19" s="337">
        <f t="shared" si="42"/>
        <v>702665.60000000056</v>
      </c>
      <c r="AC19" s="536">
        <f t="shared" si="31"/>
        <v>-14865.975453580457</v>
      </c>
      <c r="AD19" s="529">
        <f t="shared" si="8"/>
        <v>-0.42</v>
      </c>
      <c r="AE19" s="181"/>
      <c r="AF19" s="219">
        <f t="shared" si="37"/>
        <v>6243.7096905037915</v>
      </c>
      <c r="AG19" s="218">
        <f t="shared" si="9"/>
        <v>3625.2245464195439</v>
      </c>
      <c r="AH19" s="218">
        <f t="shared" si="10"/>
        <v>9868.9342369233345</v>
      </c>
      <c r="AI19" s="219">
        <f t="shared" si="11"/>
        <v>144896.20854821405</v>
      </c>
      <c r="AK19" s="321">
        <f t="shared" si="32"/>
        <v>188733.47035428253</v>
      </c>
      <c r="AL19" s="322">
        <f t="shared" si="12"/>
        <v>203491.21617834616</v>
      </c>
      <c r="AM19" s="322">
        <f t="shared" si="33"/>
        <v>247328.47798441464</v>
      </c>
      <c r="AN19" s="305"/>
      <c r="AO19" s="549">
        <f t="shared" si="13"/>
        <v>225365.006026394</v>
      </c>
      <c r="AP19" s="247">
        <f t="shared" si="14"/>
        <v>891809.36196617817</v>
      </c>
      <c r="AQ19" s="239">
        <f t="shared" si="38"/>
        <v>1117174.3679925723</v>
      </c>
      <c r="AR19" s="200">
        <f t="shared" si="15"/>
        <v>472778.19363488629</v>
      </c>
      <c r="AS19" s="550">
        <f t="shared" si="16"/>
        <v>172465.58417091845</v>
      </c>
      <c r="AU19" s="176">
        <f t="shared" si="39"/>
        <v>0.15020517694732491</v>
      </c>
      <c r="AV19" s="176">
        <f t="shared" si="17"/>
        <v>1.1729957760837184E-2</v>
      </c>
      <c r="AW19" s="258">
        <f t="shared" si="0"/>
        <v>1.7246558417091844</v>
      </c>
      <c r="AX19" s="378">
        <f t="shared" si="18"/>
        <v>8.7116208852935584E-2</v>
      </c>
      <c r="AY19" s="224">
        <f t="shared" si="1"/>
        <v>2037</v>
      </c>
    </row>
    <row r="20" spans="1:51" ht="14.1" customHeight="1">
      <c r="A20" s="171">
        <v>13</v>
      </c>
      <c r="B20" s="172">
        <f t="shared" si="19"/>
        <v>2038</v>
      </c>
      <c r="C20" s="476"/>
      <c r="D20" s="478">
        <f t="shared" si="20"/>
        <v>607316.48684423626</v>
      </c>
      <c r="E20" s="174">
        <f t="shared" si="2"/>
        <v>-3.2500000000000001E-2</v>
      </c>
      <c r="F20" s="173">
        <f t="shared" si="3"/>
        <v>-58022.563180074467</v>
      </c>
      <c r="G20" s="235">
        <f t="shared" si="21"/>
        <v>-19737.78582243768</v>
      </c>
      <c r="H20" s="360">
        <v>0</v>
      </c>
      <c r="I20" s="173">
        <f t="shared" si="34"/>
        <v>38284.777357636791</v>
      </c>
      <c r="J20" s="173">
        <f t="shared" si="22"/>
        <v>429168.29051340069</v>
      </c>
      <c r="K20" s="226">
        <f t="shared" si="23"/>
        <v>-3.8353814223238622E-2</v>
      </c>
      <c r="L20" s="483">
        <f t="shared" si="40"/>
        <v>0</v>
      </c>
      <c r="M20" s="559">
        <f t="shared" si="4"/>
        <v>0</v>
      </c>
      <c r="N20" s="557">
        <f t="shared" si="5"/>
        <v>0</v>
      </c>
      <c r="O20" s="235">
        <f t="shared" si="41"/>
        <v>0</v>
      </c>
      <c r="P20" s="427">
        <f t="shared" si="7"/>
        <v>0</v>
      </c>
      <c r="Q20" s="427">
        <f t="shared" si="25"/>
        <v>0</v>
      </c>
      <c r="R20" s="566">
        <f t="shared" si="26"/>
        <v>58595.007630132102</v>
      </c>
      <c r="S20" s="512">
        <f t="shared" si="27"/>
        <v>38284.777357636791</v>
      </c>
      <c r="T20" s="496">
        <f t="shared" si="28"/>
        <v>3.6524305817245556E-2</v>
      </c>
      <c r="V20" s="534">
        <f t="shared" si="35"/>
        <v>-2425.7447911375216</v>
      </c>
      <c r="W20" s="235">
        <f t="shared" si="29"/>
        <v>27300.946256844913</v>
      </c>
      <c r="X20" s="174">
        <f>IF(AfA_Art=AfA!B$15,VLOOKUP(A20,AfA_Tabelle,2),IF(AfA_Art=AfA!C$15,VLOOKUP(A20,AfA_Tabelle,3),IF(AfA_Art=AfA!D$15,VLOOKUP(A20,AfA_Tabelle,4),IF(AfA_Art=AfA!E$15,VLOOKUP(A20,AfA_Tabelle,5),IF(AfA_Art=AfA!F$15,VLOOKUP(A20,AfA_Tabelle,6),"tbd")))))</f>
        <v>0.02</v>
      </c>
      <c r="Y20" s="337">
        <f>IF(OR(AfA_Art=AfA!B$15,AfA_Art=AfA!C$15),-X20*RBWnach6Jahren*(A20&gt;=7),IF(OR(AfA_Art=AfA!D$15,AfA_Art=AfA!E$15,AfA_Art=AfA!F$15),AFABasis*-X20,"check"))</f>
        <v>-18491.2</v>
      </c>
      <c r="Z20" s="377">
        <v>0</v>
      </c>
      <c r="AA20" s="235">
        <f t="shared" si="36"/>
        <v>-18491.2</v>
      </c>
      <c r="AB20" s="337">
        <f t="shared" si="42"/>
        <v>684174.40000000061</v>
      </c>
      <c r="AC20" s="536">
        <f t="shared" si="31"/>
        <v>-13353.784356730288</v>
      </c>
      <c r="AD20" s="529">
        <f t="shared" si="8"/>
        <v>-0.42</v>
      </c>
      <c r="AE20" s="181"/>
      <c r="AF20" s="219">
        <f t="shared" si="37"/>
        <v>5608.5894298267203</v>
      </c>
      <c r="AG20" s="218">
        <f t="shared" si="9"/>
        <v>5137.4156432697127</v>
      </c>
      <c r="AH20" s="218">
        <f t="shared" si="10"/>
        <v>10746.005073096432</v>
      </c>
      <c r="AI20" s="219">
        <f t="shared" si="11"/>
        <v>155642.21362131048</v>
      </c>
      <c r="AK20" s="321">
        <f t="shared" si="32"/>
        <v>207585.36173530004</v>
      </c>
      <c r="AL20" s="322">
        <f t="shared" si="12"/>
        <v>214237.22125144259</v>
      </c>
      <c r="AM20" s="322">
        <f t="shared" si="33"/>
        <v>266180.36936543213</v>
      </c>
      <c r="AN20" s="305"/>
      <c r="AO20" s="549">
        <f t="shared" si="13"/>
        <v>227618.65608665792</v>
      </c>
      <c r="AP20" s="247">
        <f t="shared" si="14"/>
        <v>896268.40877600899</v>
      </c>
      <c r="AQ20" s="239">
        <f t="shared" si="38"/>
        <v>1123887.0648626669</v>
      </c>
      <c r="AR20" s="200">
        <f t="shared" si="15"/>
        <v>516570.57801843062</v>
      </c>
      <c r="AS20" s="550">
        <f t="shared" si="16"/>
        <v>189924.28611410945</v>
      </c>
      <c r="AU20" s="176">
        <f t="shared" si="39"/>
        <v>0.16541045646586783</v>
      </c>
      <c r="AV20" s="176">
        <f t="shared" si="17"/>
        <v>1.1844469643955025E-2</v>
      </c>
      <c r="AW20" s="258">
        <f t="shared" si="0"/>
        <v>1.8992428611410945</v>
      </c>
      <c r="AX20" s="378">
        <f t="shared" si="18"/>
        <v>8.5326366133581466E-2</v>
      </c>
      <c r="AY20" s="224">
        <f t="shared" si="1"/>
        <v>2038</v>
      </c>
    </row>
    <row r="21" spans="1:51" ht="14.1" customHeight="1">
      <c r="A21" s="171">
        <v>14</v>
      </c>
      <c r="B21" s="172">
        <f t="shared" si="19"/>
        <v>2039</v>
      </c>
      <c r="C21" s="476"/>
      <c r="D21" s="478">
        <f t="shared" si="20"/>
        <v>569031.70948659943</v>
      </c>
      <c r="E21" s="174">
        <f t="shared" si="2"/>
        <v>-3.2500000000000001E-2</v>
      </c>
      <c r="F21" s="173">
        <f t="shared" si="3"/>
        <v>-58022.563180074467</v>
      </c>
      <c r="G21" s="235">
        <f t="shared" si="21"/>
        <v>-18493.530558314484</v>
      </c>
      <c r="H21" s="360">
        <v>0</v>
      </c>
      <c r="I21" s="173">
        <f t="shared" si="34"/>
        <v>39529.03262175998</v>
      </c>
      <c r="J21" s="173">
        <f t="shared" si="22"/>
        <v>468697.32313516067</v>
      </c>
      <c r="K21" s="226">
        <f t="shared" si="23"/>
        <v>-3.9600313185493868E-2</v>
      </c>
      <c r="L21" s="483">
        <f t="shared" si="40"/>
        <v>0</v>
      </c>
      <c r="M21" s="559">
        <f t="shared" si="4"/>
        <v>0</v>
      </c>
      <c r="N21" s="557">
        <f t="shared" si="5"/>
        <v>0</v>
      </c>
      <c r="O21" s="235">
        <f t="shared" si="41"/>
        <v>0</v>
      </c>
      <c r="P21" s="427">
        <f t="shared" si="7"/>
        <v>0</v>
      </c>
      <c r="Q21" s="427">
        <f t="shared" si="25"/>
        <v>0</v>
      </c>
      <c r="R21" s="566">
        <f t="shared" si="26"/>
        <v>58595.007630132102</v>
      </c>
      <c r="S21" s="512">
        <f t="shared" si="27"/>
        <v>39529.03262175998</v>
      </c>
      <c r="T21" s="496">
        <f t="shared" si="28"/>
        <v>3.7711345756306032E-2</v>
      </c>
      <c r="V21" s="534">
        <f t="shared" si="35"/>
        <v>-2456.0666010267405</v>
      </c>
      <c r="W21" s="235">
        <f t="shared" si="29"/>
        <v>27642.208085055474</v>
      </c>
      <c r="X21" s="174">
        <f>IF(AfA_Art=AfA!B$15,VLOOKUP(A21,AfA_Tabelle,2),IF(AfA_Art=AfA!C$15,VLOOKUP(A21,AfA_Tabelle,3),IF(AfA_Art=AfA!D$15,VLOOKUP(A21,AfA_Tabelle,4),IF(AfA_Art=AfA!E$15,VLOOKUP(A21,AfA_Tabelle,5),IF(AfA_Art=AfA!F$15,VLOOKUP(A21,AfA_Tabelle,6),"tbd")))))</f>
        <v>0.02</v>
      </c>
      <c r="Y21" s="337">
        <f>IF(OR(AfA_Art=AfA!B$15,AfA_Art=AfA!C$15),-X21*RBWnach6Jahren*(A21&gt;=7),IF(OR(AfA_Art=AfA!D$15,AfA_Art=AfA!E$15,AfA_Art=AfA!F$15),AFABasis*-X21,"check"))</f>
        <v>-18491.2</v>
      </c>
      <c r="Z21" s="377">
        <v>0</v>
      </c>
      <c r="AA21" s="235">
        <f t="shared" si="36"/>
        <v>-18491.2</v>
      </c>
      <c r="AB21" s="337">
        <f t="shared" si="42"/>
        <v>665683.20000000065</v>
      </c>
      <c r="AC21" s="536">
        <f t="shared" si="31"/>
        <v>-11798.589074285752</v>
      </c>
      <c r="AD21" s="529">
        <f t="shared" si="8"/>
        <v>-0.42</v>
      </c>
      <c r="AE21" s="181"/>
      <c r="AF21" s="219">
        <f t="shared" si="37"/>
        <v>4955.4074112000153</v>
      </c>
      <c r="AG21" s="218">
        <f t="shared" si="9"/>
        <v>6692.6109257142489</v>
      </c>
      <c r="AH21" s="218">
        <f t="shared" si="10"/>
        <v>11648.018336914265</v>
      </c>
      <c r="AI21" s="219">
        <f t="shared" si="11"/>
        <v>167290.23195822476</v>
      </c>
      <c r="AK21" s="321">
        <f t="shared" si="32"/>
        <v>228145.35540115522</v>
      </c>
      <c r="AL21" s="322">
        <f t="shared" si="12"/>
        <v>225885.23958835687</v>
      </c>
      <c r="AM21" s="322">
        <f t="shared" si="33"/>
        <v>286740.36303128733</v>
      </c>
      <c r="AN21" s="305"/>
      <c r="AO21" s="549">
        <f t="shared" si="13"/>
        <v>229894.84264752449</v>
      </c>
      <c r="AP21" s="247">
        <f t="shared" si="14"/>
        <v>900749.7508198889</v>
      </c>
      <c r="AQ21" s="239">
        <f t="shared" si="38"/>
        <v>1130644.5934674134</v>
      </c>
      <c r="AR21" s="200">
        <f t="shared" si="15"/>
        <v>561612.88398081402</v>
      </c>
      <c r="AS21" s="550">
        <f t="shared" si="16"/>
        <v>208329.83305577026</v>
      </c>
      <c r="AU21" s="176">
        <f t="shared" si="39"/>
        <v>0.18144037019314602</v>
      </c>
      <c r="AV21" s="176">
        <f t="shared" si="17"/>
        <v>1.1980797820401623E-2</v>
      </c>
      <c r="AW21" s="258">
        <f t="shared" si="0"/>
        <v>2.0832983305577026</v>
      </c>
      <c r="AX21" s="378">
        <f t="shared" si="18"/>
        <v>8.3751426135711959E-2</v>
      </c>
      <c r="AY21" s="224">
        <f t="shared" si="1"/>
        <v>2039</v>
      </c>
    </row>
    <row r="22" spans="1:51" ht="14.1" customHeight="1">
      <c r="A22" s="171">
        <v>15</v>
      </c>
      <c r="B22" s="172">
        <f t="shared" si="19"/>
        <v>2040</v>
      </c>
      <c r="C22" s="476"/>
      <c r="D22" s="478">
        <f t="shared" si="20"/>
        <v>529502.67686483939</v>
      </c>
      <c r="E22" s="174">
        <f t="shared" si="2"/>
        <v>-3.2500000000000001E-2</v>
      </c>
      <c r="F22" s="173">
        <f t="shared" si="3"/>
        <v>-58022.563180074467</v>
      </c>
      <c r="G22" s="235">
        <f t="shared" si="21"/>
        <v>-17208.836998107279</v>
      </c>
      <c r="H22" s="360">
        <v>0</v>
      </c>
      <c r="I22" s="173">
        <f t="shared" si="34"/>
        <v>40813.726181967184</v>
      </c>
      <c r="J22" s="173">
        <f t="shared" si="22"/>
        <v>509511.04931712785</v>
      </c>
      <c r="K22" s="226">
        <f t="shared" si="23"/>
        <v>-4.0887323364022427E-2</v>
      </c>
      <c r="L22" s="483">
        <f t="shared" si="40"/>
        <v>0</v>
      </c>
      <c r="M22" s="559">
        <f t="shared" si="4"/>
        <v>0</v>
      </c>
      <c r="N22" s="557">
        <f t="shared" si="5"/>
        <v>0</v>
      </c>
      <c r="O22" s="235">
        <f t="shared" si="41"/>
        <v>0</v>
      </c>
      <c r="P22" s="427">
        <f t="shared" si="7"/>
        <v>0</v>
      </c>
      <c r="Q22" s="427">
        <f t="shared" si="25"/>
        <v>0</v>
      </c>
      <c r="R22" s="566">
        <f t="shared" si="26"/>
        <v>58595.007630132102</v>
      </c>
      <c r="S22" s="512">
        <f t="shared" si="27"/>
        <v>40813.726181967184</v>
      </c>
      <c r="T22" s="496">
        <f t="shared" si="28"/>
        <v>3.8936964493385982E-2</v>
      </c>
      <c r="V22" s="534">
        <f t="shared" si="35"/>
        <v>-2486.7674335395745</v>
      </c>
      <c r="W22" s="235">
        <f t="shared" si="29"/>
        <v>27987.735686118667</v>
      </c>
      <c r="X22" s="174">
        <f>IF(AfA_Art=AfA!B$15,VLOOKUP(A22,AfA_Tabelle,2),IF(AfA_Art=AfA!C$15,VLOOKUP(A22,AfA_Tabelle,3),IF(AfA_Art=AfA!D$15,VLOOKUP(A22,AfA_Tabelle,4),IF(AfA_Art=AfA!E$15,VLOOKUP(A22,AfA_Tabelle,5),IF(AfA_Art=AfA!F$15,VLOOKUP(A22,AfA_Tabelle,6),"tbd")))))</f>
        <v>0.02</v>
      </c>
      <c r="Y22" s="337">
        <f>IF(OR(AfA_Art=AfA!B$15,AfA_Art=AfA!C$15),-X22*RBWnach6Jahren*(A22&gt;=7),IF(OR(AfA_Art=AfA!D$15,AfA_Art=AfA!E$15,AfA_Art=AfA!F$15),AFABasis*-X22,"check"))</f>
        <v>-18491.2</v>
      </c>
      <c r="Z22" s="377">
        <v>0</v>
      </c>
      <c r="AA22" s="235">
        <f t="shared" si="36"/>
        <v>-18491.2</v>
      </c>
      <c r="AB22" s="337">
        <f t="shared" si="42"/>
        <v>647192.0000000007</v>
      </c>
      <c r="AC22" s="536">
        <f t="shared" si="31"/>
        <v>-10199.068745528188</v>
      </c>
      <c r="AD22" s="529">
        <f t="shared" si="8"/>
        <v>-0.42</v>
      </c>
      <c r="AE22" s="181"/>
      <c r="AF22" s="219">
        <f t="shared" si="37"/>
        <v>4283.6088731218388</v>
      </c>
      <c r="AG22" s="218">
        <f t="shared" si="9"/>
        <v>8292.131254471813</v>
      </c>
      <c r="AH22" s="218">
        <f t="shared" si="10"/>
        <v>12575.740127593652</v>
      </c>
      <c r="AI22" s="219">
        <f t="shared" si="11"/>
        <v>179865.97208581842</v>
      </c>
      <c r="AK22" s="321">
        <f t="shared" si="32"/>
        <v>250511.02702416526</v>
      </c>
      <c r="AL22" s="322">
        <f t="shared" si="12"/>
        <v>238460.97971595053</v>
      </c>
      <c r="AM22" s="322">
        <f t="shared" si="33"/>
        <v>309106.03465429734</v>
      </c>
      <c r="AN22" s="305"/>
      <c r="AO22" s="549">
        <f t="shared" si="13"/>
        <v>232193.79107399975</v>
      </c>
      <c r="AP22" s="247">
        <f t="shared" si="14"/>
        <v>905253.49957398826</v>
      </c>
      <c r="AQ22" s="239">
        <f t="shared" si="38"/>
        <v>1137447.290647988</v>
      </c>
      <c r="AR22" s="200">
        <f t="shared" si="15"/>
        <v>607944.61378314858</v>
      </c>
      <c r="AS22" s="550">
        <f t="shared" si="16"/>
        <v>227708.27036393853</v>
      </c>
      <c r="AU22" s="176">
        <f t="shared" si="39"/>
        <v>0.19831760178012414</v>
      </c>
      <c r="AV22" s="176">
        <f t="shared" si="17"/>
        <v>1.2134268354172528E-2</v>
      </c>
      <c r="AW22" s="258">
        <f t="shared" si="0"/>
        <v>2.2770827036393855</v>
      </c>
      <c r="AX22" s="378">
        <f t="shared" si="18"/>
        <v>8.234527804554026E-2</v>
      </c>
      <c r="AY22" s="224">
        <f t="shared" si="1"/>
        <v>2040</v>
      </c>
    </row>
    <row r="23" spans="1:51" ht="14.1" customHeight="1">
      <c r="A23" s="171">
        <v>16</v>
      </c>
      <c r="B23" s="172">
        <f t="shared" si="19"/>
        <v>2041</v>
      </c>
      <c r="C23" s="476"/>
      <c r="D23" s="478">
        <f t="shared" si="20"/>
        <v>488688.95068287221</v>
      </c>
      <c r="E23" s="174">
        <f t="shared" si="2"/>
        <v>-3.2500000000000001E-2</v>
      </c>
      <c r="F23" s="173">
        <f t="shared" si="3"/>
        <v>-58022.563180074467</v>
      </c>
      <c r="G23" s="235">
        <f t="shared" si="21"/>
        <v>-15882.390897193347</v>
      </c>
      <c r="H23" s="360">
        <v>0</v>
      </c>
      <c r="I23" s="173">
        <f t="shared" si="34"/>
        <v>42140.172282881118</v>
      </c>
      <c r="J23" s="173">
        <f t="shared" si="22"/>
        <v>551651.22160000901</v>
      </c>
      <c r="K23" s="226">
        <f t="shared" si="23"/>
        <v>-4.2216161373353156E-2</v>
      </c>
      <c r="L23" s="483">
        <f t="shared" si="40"/>
        <v>0</v>
      </c>
      <c r="M23" s="559">
        <f t="shared" si="4"/>
        <v>0</v>
      </c>
      <c r="N23" s="557">
        <f t="shared" si="5"/>
        <v>0</v>
      </c>
      <c r="O23" s="235">
        <f t="shared" si="41"/>
        <v>0</v>
      </c>
      <c r="P23" s="427">
        <f t="shared" si="7"/>
        <v>0</v>
      </c>
      <c r="Q23" s="427">
        <f t="shared" si="25"/>
        <v>0</v>
      </c>
      <c r="R23" s="566">
        <f t="shared" si="26"/>
        <v>58595.007630132102</v>
      </c>
      <c r="S23" s="512">
        <f t="shared" si="27"/>
        <v>42140.172282881118</v>
      </c>
      <c r="T23" s="496">
        <f t="shared" si="28"/>
        <v>4.0202415839421024E-2</v>
      </c>
      <c r="V23" s="534">
        <f t="shared" si="35"/>
        <v>-2517.8520264588192</v>
      </c>
      <c r="W23" s="235">
        <f t="shared" si="29"/>
        <v>28337.582382195149</v>
      </c>
      <c r="X23" s="174">
        <f>IF(AfA_Art=AfA!B$15,VLOOKUP(A23,AfA_Tabelle,2),IF(AfA_Art=AfA!C$15,VLOOKUP(A23,AfA_Tabelle,3),IF(AfA_Art=AfA!D$15,VLOOKUP(A23,AfA_Tabelle,4),IF(AfA_Art=AfA!E$15,VLOOKUP(A23,AfA_Tabelle,5),IF(AfA_Art=AfA!F$15,VLOOKUP(A23,AfA_Tabelle,6),"tbd")))))</f>
        <v>0.02</v>
      </c>
      <c r="Y23" s="337">
        <f>IF(OR(AfA_Art=AfA!B$15,AfA_Art=AfA!C$15),-X23*RBWnach6Jahren*(A23&gt;=7),IF(OR(AfA_Art=AfA!D$15,AfA_Art=AfA!E$15,AfA_Art=AfA!F$15),AFABasis*-X23,"check"))</f>
        <v>-18491.2</v>
      </c>
      <c r="Z23" s="377">
        <v>0</v>
      </c>
      <c r="AA23" s="235">
        <f t="shared" si="36"/>
        <v>-18491.2</v>
      </c>
      <c r="AB23" s="337">
        <f t="shared" si="42"/>
        <v>628700.80000000075</v>
      </c>
      <c r="AC23" s="536">
        <f t="shared" si="31"/>
        <v>-8553.8605414570175</v>
      </c>
      <c r="AD23" s="529">
        <f t="shared" si="8"/>
        <v>-0.42</v>
      </c>
      <c r="AE23" s="181"/>
      <c r="AF23" s="219">
        <f t="shared" si="37"/>
        <v>3592.621427411947</v>
      </c>
      <c r="AG23" s="218">
        <f t="shared" si="9"/>
        <v>9937.3394585429833</v>
      </c>
      <c r="AH23" s="218">
        <f t="shared" si="10"/>
        <v>13529.96088595493</v>
      </c>
      <c r="AI23" s="219">
        <f t="shared" si="11"/>
        <v>193395.93297177335</v>
      </c>
      <c r="AK23" s="321">
        <f t="shared" si="32"/>
        <v>274784.83398194809</v>
      </c>
      <c r="AL23" s="322">
        <f t="shared" si="12"/>
        <v>251990.94060190546</v>
      </c>
      <c r="AM23" s="322">
        <f t="shared" si="33"/>
        <v>333379.84161208017</v>
      </c>
      <c r="AN23" s="305"/>
      <c r="AO23" s="549">
        <f t="shared" si="13"/>
        <v>234515.72898473975</v>
      </c>
      <c r="AP23" s="247">
        <f t="shared" si="14"/>
        <v>909779.76707185805</v>
      </c>
      <c r="AQ23" s="239">
        <f t="shared" si="38"/>
        <v>1144295.4960565977</v>
      </c>
      <c r="AR23" s="200">
        <f t="shared" si="15"/>
        <v>655606.54537372547</v>
      </c>
      <c r="AS23" s="550">
        <f t="shared" si="16"/>
        <v>248086.43665850302</v>
      </c>
      <c r="AU23" s="176">
        <f t="shared" si="39"/>
        <v>0.21606552574334004</v>
      </c>
      <c r="AV23" s="176">
        <f t="shared" si="17"/>
        <v>1.230133841542691E-2</v>
      </c>
      <c r="AW23" s="258">
        <f t="shared" si="0"/>
        <v>2.4808643665850303</v>
      </c>
      <c r="AX23" s="378">
        <f t="shared" si="18"/>
        <v>8.107405276825741E-2</v>
      </c>
      <c r="AY23" s="224">
        <f t="shared" si="1"/>
        <v>2041</v>
      </c>
    </row>
    <row r="24" spans="1:51" ht="14.1" customHeight="1">
      <c r="A24" s="171">
        <v>17</v>
      </c>
      <c r="B24" s="172">
        <f t="shared" si="19"/>
        <v>2042</v>
      </c>
      <c r="C24" s="476"/>
      <c r="D24" s="478">
        <f t="shared" si="20"/>
        <v>446548.7783999911</v>
      </c>
      <c r="E24" s="174">
        <f t="shared" si="2"/>
        <v>-3.2500000000000001E-2</v>
      </c>
      <c r="F24" s="173">
        <f t="shared" si="3"/>
        <v>-58022.563180074467</v>
      </c>
      <c r="G24" s="235">
        <f t="shared" si="21"/>
        <v>-14512.835297999711</v>
      </c>
      <c r="H24" s="360">
        <v>0</v>
      </c>
      <c r="I24" s="173">
        <f t="shared" si="34"/>
        <v>43509.72788207476</v>
      </c>
      <c r="J24" s="173">
        <f t="shared" si="22"/>
        <v>595160.94948208379</v>
      </c>
      <c r="K24" s="226">
        <f t="shared" si="23"/>
        <v>-4.3588186617987135E-2</v>
      </c>
      <c r="L24" s="483">
        <f t="shared" si="40"/>
        <v>0</v>
      </c>
      <c r="M24" s="559">
        <f t="shared" si="4"/>
        <v>0</v>
      </c>
      <c r="N24" s="557">
        <f t="shared" si="5"/>
        <v>0</v>
      </c>
      <c r="O24" s="235">
        <f t="shared" si="41"/>
        <v>0</v>
      </c>
      <c r="P24" s="427">
        <f t="shared" si="7"/>
        <v>0</v>
      </c>
      <c r="Q24" s="427">
        <f t="shared" si="25"/>
        <v>0</v>
      </c>
      <c r="R24" s="566">
        <f t="shared" si="26"/>
        <v>58595.007630132102</v>
      </c>
      <c r="S24" s="512">
        <f t="shared" si="27"/>
        <v>43509.72788207476</v>
      </c>
      <c r="T24" s="496">
        <f t="shared" si="28"/>
        <v>4.150899435420221E-2</v>
      </c>
      <c r="V24" s="534">
        <f t="shared" si="35"/>
        <v>-2549.3251767895545</v>
      </c>
      <c r="W24" s="235">
        <f t="shared" si="29"/>
        <v>28691.802161972588</v>
      </c>
      <c r="X24" s="174">
        <f>IF(AfA_Art=AfA!B$15,VLOOKUP(A24,AfA_Tabelle,2),IF(AfA_Art=AfA!C$15,VLOOKUP(A24,AfA_Tabelle,3),IF(AfA_Art=AfA!D$15,VLOOKUP(A24,AfA_Tabelle,4),IF(AfA_Art=AfA!E$15,VLOOKUP(A24,AfA_Tabelle,5),IF(AfA_Art=AfA!F$15,VLOOKUP(A24,AfA_Tabelle,6),"tbd")))))</f>
        <v>0.02</v>
      </c>
      <c r="Y24" s="337">
        <f>IF(OR(AfA_Art=AfA!B$15,AfA_Art=AfA!C$15),-X24*RBWnach6Jahren*(A24&gt;=7),IF(OR(AfA_Art=AfA!D$15,AfA_Art=AfA!E$15,AfA_Art=AfA!F$15),AFABasis*-X24,"check"))</f>
        <v>-18491.2</v>
      </c>
      <c r="Z24" s="377">
        <v>0</v>
      </c>
      <c r="AA24" s="235">
        <f t="shared" si="36"/>
        <v>-18491.2</v>
      </c>
      <c r="AB24" s="337">
        <f t="shared" si="42"/>
        <v>610209.60000000079</v>
      </c>
      <c r="AC24" s="536">
        <f t="shared" si="31"/>
        <v>-6861.5583128166763</v>
      </c>
      <c r="AD24" s="529">
        <f t="shared" si="8"/>
        <v>-0.42</v>
      </c>
      <c r="AE24" s="181"/>
      <c r="AF24" s="219">
        <f t="shared" si="37"/>
        <v>2881.8544913830037</v>
      </c>
      <c r="AG24" s="218">
        <f t="shared" si="9"/>
        <v>11629.641687183324</v>
      </c>
      <c r="AH24" s="218">
        <f t="shared" si="10"/>
        <v>14511.496178566329</v>
      </c>
      <c r="AI24" s="219">
        <f t="shared" si="11"/>
        <v>207907.42915033968</v>
      </c>
      <c r="AK24" s="321">
        <f t="shared" si="32"/>
        <v>301074.34486780898</v>
      </c>
      <c r="AL24" s="322">
        <f t="shared" si="12"/>
        <v>266502.43678047176</v>
      </c>
      <c r="AM24" s="322">
        <f t="shared" si="33"/>
        <v>359669.35249794106</v>
      </c>
      <c r="AN24" s="305"/>
      <c r="AO24" s="549">
        <f t="shared" si="13"/>
        <v>236860.88627458716</v>
      </c>
      <c r="AP24" s="247">
        <f t="shared" si="14"/>
        <v>914328.66590721719</v>
      </c>
      <c r="AQ24" s="239">
        <f t="shared" si="38"/>
        <v>1151189.5521818043</v>
      </c>
      <c r="AR24" s="200">
        <f t="shared" si="15"/>
        <v>704640.77378181322</v>
      </c>
      <c r="AS24" s="550">
        <f t="shared" si="16"/>
        <v>269491.98896227614</v>
      </c>
      <c r="AU24" s="176">
        <f t="shared" si="39"/>
        <v>0.23470822936968833</v>
      </c>
      <c r="AV24" s="176">
        <f t="shared" si="17"/>
        <v>1.2479264847824467E-2</v>
      </c>
      <c r="AW24" s="258">
        <f t="shared" si="0"/>
        <v>2.6949198896227613</v>
      </c>
      <c r="AX24" s="378">
        <f t="shared" si="18"/>
        <v>7.9912407553850651E-2</v>
      </c>
      <c r="AY24" s="224">
        <f t="shared" si="1"/>
        <v>2042</v>
      </c>
    </row>
    <row r="25" spans="1:51" ht="14.1" customHeight="1">
      <c r="A25" s="171">
        <v>18</v>
      </c>
      <c r="B25" s="172">
        <f t="shared" si="19"/>
        <v>2043</v>
      </c>
      <c r="C25" s="476"/>
      <c r="D25" s="478">
        <f t="shared" si="20"/>
        <v>403039.05051791633</v>
      </c>
      <c r="E25" s="174">
        <f t="shared" si="2"/>
        <v>-3.2500000000000001E-2</v>
      </c>
      <c r="F25" s="173">
        <f t="shared" si="3"/>
        <v>-58022.563180074467</v>
      </c>
      <c r="G25" s="235">
        <f t="shared" si="21"/>
        <v>-13098.769141832281</v>
      </c>
      <c r="H25" s="360">
        <v>0</v>
      </c>
      <c r="I25" s="173">
        <f t="shared" si="34"/>
        <v>44923.794038242188</v>
      </c>
      <c r="J25" s="173">
        <f t="shared" si="22"/>
        <v>640084.74352032598</v>
      </c>
      <c r="K25" s="226">
        <f t="shared" si="23"/>
        <v>-4.5004802683071714E-2</v>
      </c>
      <c r="L25" s="483">
        <f t="shared" si="40"/>
        <v>0</v>
      </c>
      <c r="M25" s="559">
        <f t="shared" si="4"/>
        <v>0</v>
      </c>
      <c r="N25" s="557">
        <f t="shared" si="5"/>
        <v>0</v>
      </c>
      <c r="O25" s="235">
        <f t="shared" si="41"/>
        <v>0</v>
      </c>
      <c r="P25" s="427">
        <f t="shared" si="7"/>
        <v>0</v>
      </c>
      <c r="Q25" s="427">
        <f t="shared" si="25"/>
        <v>0</v>
      </c>
      <c r="R25" s="566">
        <f t="shared" si="26"/>
        <v>58595.007630132102</v>
      </c>
      <c r="S25" s="512">
        <f t="shared" si="27"/>
        <v>44923.794038242188</v>
      </c>
      <c r="T25" s="496">
        <f t="shared" si="28"/>
        <v>4.2858036670713785E-2</v>
      </c>
      <c r="V25" s="534">
        <f t="shared" si="35"/>
        <v>-2581.1917414994236</v>
      </c>
      <c r="W25" s="235">
        <f t="shared" si="29"/>
        <v>29050.449688997243</v>
      </c>
      <c r="X25" s="174">
        <f>IF(AfA_Art=AfA!B$15,VLOOKUP(A25,AfA_Tabelle,2),IF(AfA_Art=AfA!C$15,VLOOKUP(A25,AfA_Tabelle,3),IF(AfA_Art=AfA!D$15,VLOOKUP(A25,AfA_Tabelle,4),IF(AfA_Art=AfA!E$15,VLOOKUP(A25,AfA_Tabelle,5),IF(AfA_Art=AfA!F$15,VLOOKUP(A25,AfA_Tabelle,6),"tbd")))))</f>
        <v>0.02</v>
      </c>
      <c r="Y25" s="337">
        <f>IF(OR(AfA_Art=AfA!B$15,AfA_Art=AfA!C$15),-X25*RBWnach6Jahren*(A25&gt;=7),IF(OR(AfA_Art=AfA!D$15,AfA_Art=AfA!E$15,AfA_Art=AfA!F$15),AFABasis*-X25,"check"))</f>
        <v>-18491.2</v>
      </c>
      <c r="Z25" s="377">
        <v>0</v>
      </c>
      <c r="AA25" s="235">
        <f t="shared" si="36"/>
        <v>-18491.2</v>
      </c>
      <c r="AB25" s="337">
        <f t="shared" si="42"/>
        <v>591718.40000000084</v>
      </c>
      <c r="AC25" s="536">
        <f t="shared" si="31"/>
        <v>-5120.7111943344626</v>
      </c>
      <c r="AD25" s="529">
        <f t="shared" si="8"/>
        <v>-0.42</v>
      </c>
      <c r="AE25" s="181"/>
      <c r="AF25" s="219">
        <f t="shared" si="37"/>
        <v>2150.6987016204744</v>
      </c>
      <c r="AG25" s="218">
        <f t="shared" si="9"/>
        <v>13370.488805665538</v>
      </c>
      <c r="AH25" s="218">
        <f t="shared" si="10"/>
        <v>15521.187507286013</v>
      </c>
      <c r="AI25" s="219">
        <f t="shared" si="11"/>
        <v>223428.61665762571</v>
      </c>
      <c r="AK25" s="321">
        <f t="shared" si="32"/>
        <v>329492.47941192682</v>
      </c>
      <c r="AL25" s="322">
        <f t="shared" si="12"/>
        <v>282023.62428775779</v>
      </c>
      <c r="AM25" s="322">
        <f t="shared" si="33"/>
        <v>388087.4870420589</v>
      </c>
      <c r="AN25" s="305"/>
      <c r="AO25" s="549">
        <f t="shared" si="13"/>
        <v>239229.49513733303</v>
      </c>
      <c r="AP25" s="247">
        <f t="shared" si="14"/>
        <v>918900.30923675315</v>
      </c>
      <c r="AQ25" s="239">
        <f t="shared" si="38"/>
        <v>1158129.8043740862</v>
      </c>
      <c r="AR25" s="200">
        <f t="shared" si="15"/>
        <v>755090.75385616987</v>
      </c>
      <c r="AS25" s="550">
        <f t="shared" si="16"/>
        <v>291953.42866184399</v>
      </c>
      <c r="AU25" s="176">
        <f t="shared" si="39"/>
        <v>0.25427053532646227</v>
      </c>
      <c r="AV25" s="176">
        <f t="shared" si="17"/>
        <v>1.2665883411163037E-2</v>
      </c>
      <c r="AW25" s="258">
        <f t="shared" si="0"/>
        <v>2.9195342866184402</v>
      </c>
      <c r="AX25" s="378">
        <f t="shared" si="18"/>
        <v>7.8841068372790035E-2</v>
      </c>
      <c r="AY25" s="224">
        <f t="shared" si="1"/>
        <v>2043</v>
      </c>
    </row>
    <row r="26" spans="1:51" ht="14.1" customHeight="1">
      <c r="A26" s="171">
        <v>19</v>
      </c>
      <c r="B26" s="172">
        <f t="shared" si="19"/>
        <v>2044</v>
      </c>
      <c r="C26" s="476"/>
      <c r="D26" s="478">
        <f t="shared" si="20"/>
        <v>358115.25647967414</v>
      </c>
      <c r="E26" s="174">
        <f t="shared" si="2"/>
        <v>-3.2500000000000001E-2</v>
      </c>
      <c r="F26" s="173">
        <f t="shared" si="3"/>
        <v>-58022.563180074467</v>
      </c>
      <c r="G26" s="235">
        <f t="shared" si="21"/>
        <v>-11638.74583558941</v>
      </c>
      <c r="H26" s="360">
        <v>0</v>
      </c>
      <c r="I26" s="173">
        <f t="shared" si="34"/>
        <v>46383.817344485054</v>
      </c>
      <c r="J26" s="173">
        <f t="shared" si="22"/>
        <v>686468.56086481106</v>
      </c>
      <c r="K26" s="226">
        <f t="shared" si="23"/>
        <v>-4.6467458770271544E-2</v>
      </c>
      <c r="L26" s="483">
        <f t="shared" si="40"/>
        <v>0</v>
      </c>
      <c r="M26" s="559">
        <f t="shared" si="4"/>
        <v>0</v>
      </c>
      <c r="N26" s="557">
        <f t="shared" si="5"/>
        <v>0</v>
      </c>
      <c r="O26" s="235">
        <f t="shared" si="41"/>
        <v>0</v>
      </c>
      <c r="P26" s="427">
        <f t="shared" si="7"/>
        <v>0</v>
      </c>
      <c r="Q26" s="427">
        <f t="shared" si="25"/>
        <v>0</v>
      </c>
      <c r="R26" s="566">
        <f t="shared" si="26"/>
        <v>58595.007630132102</v>
      </c>
      <c r="S26" s="512">
        <f t="shared" si="27"/>
        <v>46383.817344485054</v>
      </c>
      <c r="T26" s="496">
        <f t="shared" si="28"/>
        <v>4.4250922862511977E-2</v>
      </c>
      <c r="V26" s="534">
        <f t="shared" si="35"/>
        <v>-2613.4566382681664</v>
      </c>
      <c r="W26" s="235">
        <f t="shared" si="29"/>
        <v>29413.580310109708</v>
      </c>
      <c r="X26" s="174">
        <f>IF(AfA_Art=AfA!B$15,VLOOKUP(A26,AfA_Tabelle,2),IF(AfA_Art=AfA!C$15,VLOOKUP(A26,AfA_Tabelle,3),IF(AfA_Art=AfA!D$15,VLOOKUP(A26,AfA_Tabelle,4),IF(AfA_Art=AfA!E$15,VLOOKUP(A26,AfA_Tabelle,5),IF(AfA_Art=AfA!F$15,VLOOKUP(A26,AfA_Tabelle,6),"tbd")))))</f>
        <v>0.02</v>
      </c>
      <c r="Y26" s="337">
        <f>IF(OR(AfA_Art=AfA!B$15,AfA_Art=AfA!C$15),-X26*RBWnach6Jahren*(A26&gt;=7),IF(OR(AfA_Art=AfA!D$15,AfA_Art=AfA!E$15,AfA_Art=AfA!F$15),AFABasis*-X26,"check"))</f>
        <v>-18491.2</v>
      </c>
      <c r="Z26" s="377">
        <v>0</v>
      </c>
      <c r="AA26" s="235">
        <f t="shared" si="36"/>
        <v>-18491.2</v>
      </c>
      <c r="AB26" s="337">
        <f t="shared" si="42"/>
        <v>573227.20000000088</v>
      </c>
      <c r="AC26" s="536">
        <f t="shared" si="31"/>
        <v>-3329.8221637478691</v>
      </c>
      <c r="AD26" s="529">
        <f t="shared" si="8"/>
        <v>-0.42</v>
      </c>
      <c r="AE26" s="181"/>
      <c r="AF26" s="219">
        <f t="shared" si="37"/>
        <v>1398.525308774105</v>
      </c>
      <c r="AG26" s="218">
        <f t="shared" si="9"/>
        <v>15161.377836252132</v>
      </c>
      <c r="AH26" s="218">
        <f t="shared" si="10"/>
        <v>16559.903145026237</v>
      </c>
      <c r="AI26" s="219">
        <f t="shared" si="11"/>
        <v>239988.51980265195</v>
      </c>
      <c r="AK26" s="321">
        <f t="shared" si="32"/>
        <v>360157.75927486329</v>
      </c>
      <c r="AL26" s="322">
        <f t="shared" si="12"/>
        <v>298583.52743278403</v>
      </c>
      <c r="AM26" s="322">
        <f t="shared" si="33"/>
        <v>418752.76690499537</v>
      </c>
      <c r="AN26" s="305"/>
      <c r="AO26" s="549">
        <f t="shared" si="13"/>
        <v>241621.79008870636</v>
      </c>
      <c r="AP26" s="247">
        <f t="shared" si="14"/>
        <v>923494.81078293687</v>
      </c>
      <c r="AQ26" s="239">
        <f t="shared" si="38"/>
        <v>1165116.6008716433</v>
      </c>
      <c r="AR26" s="200">
        <f t="shared" si="15"/>
        <v>807001.34439196915</v>
      </c>
      <c r="AS26" s="550">
        <f t="shared" si="16"/>
        <v>315500.12830442726</v>
      </c>
      <c r="AU26" s="176">
        <f t="shared" si="39"/>
        <v>0.27477802499950116</v>
      </c>
      <c r="AV26" s="176">
        <f t="shared" si="17"/>
        <v>1.2859457884894621E-2</v>
      </c>
      <c r="AW26" s="258">
        <f t="shared" si="0"/>
        <v>3.1550012830442724</v>
      </c>
      <c r="AX26" s="378">
        <f t="shared" si="18"/>
        <v>7.7845162653741085E-2</v>
      </c>
      <c r="AY26" s="224">
        <f t="shared" si="1"/>
        <v>2044</v>
      </c>
    </row>
    <row r="27" spans="1:51" ht="14.1" customHeight="1">
      <c r="A27" s="171">
        <v>20</v>
      </c>
      <c r="B27" s="172">
        <f t="shared" si="19"/>
        <v>2045</v>
      </c>
      <c r="C27" s="476"/>
      <c r="D27" s="478">
        <f t="shared" si="20"/>
        <v>311731.43913518905</v>
      </c>
      <c r="E27" s="174">
        <f t="shared" si="2"/>
        <v>-3.2500000000000001E-2</v>
      </c>
      <c r="F27" s="173">
        <f t="shared" si="3"/>
        <v>-58022.563180074467</v>
      </c>
      <c r="G27" s="235">
        <f t="shared" si="21"/>
        <v>-10131.271771893644</v>
      </c>
      <c r="H27" s="360">
        <v>0</v>
      </c>
      <c r="I27" s="173">
        <f t="shared" si="34"/>
        <v>47891.291408180827</v>
      </c>
      <c r="J27" s="173">
        <f t="shared" si="22"/>
        <v>734359.85227299191</v>
      </c>
      <c r="K27" s="226">
        <f t="shared" si="23"/>
        <v>-4.7977651180305378E-2</v>
      </c>
      <c r="L27" s="483">
        <f t="shared" si="40"/>
        <v>0</v>
      </c>
      <c r="M27" s="559">
        <f t="shared" si="4"/>
        <v>0</v>
      </c>
      <c r="N27" s="557">
        <f t="shared" si="5"/>
        <v>0</v>
      </c>
      <c r="O27" s="235">
        <f t="shared" si="41"/>
        <v>0</v>
      </c>
      <c r="P27" s="427">
        <f t="shared" si="7"/>
        <v>0</v>
      </c>
      <c r="Q27" s="427">
        <f t="shared" si="25"/>
        <v>0</v>
      </c>
      <c r="R27" s="566">
        <f t="shared" si="26"/>
        <v>58595.007630132102</v>
      </c>
      <c r="S27" s="512">
        <f t="shared" si="27"/>
        <v>47891.291408180827</v>
      </c>
      <c r="T27" s="496">
        <f t="shared" si="28"/>
        <v>4.5689077855543624E-2</v>
      </c>
      <c r="V27" s="534">
        <f t="shared" si="35"/>
        <v>-2646.1248462465182</v>
      </c>
      <c r="W27" s="235">
        <f t="shared" si="29"/>
        <v>29781.250063986077</v>
      </c>
      <c r="X27" s="174">
        <f>IF(AfA_Art=AfA!B$15,VLOOKUP(A27,AfA_Tabelle,2),IF(AfA_Art=AfA!C$15,VLOOKUP(A27,AfA_Tabelle,3),IF(AfA_Art=AfA!D$15,VLOOKUP(A27,AfA_Tabelle,4),IF(AfA_Art=AfA!E$15,VLOOKUP(A27,AfA_Tabelle,5),IF(AfA_Art=AfA!F$15,VLOOKUP(A27,AfA_Tabelle,6),"tbd")))))</f>
        <v>0.02</v>
      </c>
      <c r="Y27" s="337">
        <f>IF(OR(AfA_Art=AfA!B$15,AfA_Art=AfA!C$15),-X27*RBWnach6Jahren*(A27&gt;=7),IF(OR(AfA_Art=AfA!D$15,AfA_Art=AfA!E$15,AfA_Art=AfA!F$15),AFABasis*-X27,"check"))</f>
        <v>-18491.2</v>
      </c>
      <c r="Z27" s="377">
        <v>0</v>
      </c>
      <c r="AA27" s="235">
        <f t="shared" si="36"/>
        <v>-18491.2</v>
      </c>
      <c r="AB27" s="337">
        <f t="shared" si="42"/>
        <v>554736.00000000093</v>
      </c>
      <c r="AC27" s="536">
        <f t="shared" si="31"/>
        <v>-1487.3465541540863</v>
      </c>
      <c r="AD27" s="529">
        <f t="shared" si="8"/>
        <v>-0.42</v>
      </c>
      <c r="AE27" s="181"/>
      <c r="AF27" s="219">
        <f t="shared" si="37"/>
        <v>624.68555274471623</v>
      </c>
      <c r="AG27" s="218">
        <f t="shared" si="9"/>
        <v>17003.853445845914</v>
      </c>
      <c r="AH27" s="218">
        <f t="shared" si="10"/>
        <v>17628.538998590629</v>
      </c>
      <c r="AI27" s="219">
        <f t="shared" si="11"/>
        <v>257617.05880124259</v>
      </c>
      <c r="AK27" s="321">
        <f t="shared" si="32"/>
        <v>393194.57019506273</v>
      </c>
      <c r="AL27" s="322">
        <f t="shared" si="12"/>
        <v>316212.0664313747</v>
      </c>
      <c r="AM27" s="322">
        <f t="shared" si="33"/>
        <v>451789.57782519481</v>
      </c>
      <c r="AN27" s="305"/>
      <c r="AO27" s="549">
        <f t="shared" si="13"/>
        <v>244038.00798959343</v>
      </c>
      <c r="AP27" s="247">
        <f t="shared" si="14"/>
        <v>928112.28483685141</v>
      </c>
      <c r="AQ27" s="239">
        <f t="shared" si="38"/>
        <v>1172150.2928264448</v>
      </c>
      <c r="AR27" s="200">
        <f t="shared" si="15"/>
        <v>860418.85369125579</v>
      </c>
      <c r="AS27" s="550">
        <f t="shared" si="16"/>
        <v>340162.3592578196</v>
      </c>
      <c r="AU27" s="176">
        <f t="shared" si="39"/>
        <v>0.29625706258301654</v>
      </c>
      <c r="AV27" s="176">
        <f t="shared" si="17"/>
        <v>1.3058574553243663E-2</v>
      </c>
      <c r="AW27" s="258">
        <f t="shared" si="0"/>
        <v>3.4016235925781961</v>
      </c>
      <c r="AX27" s="378">
        <f t="shared" si="18"/>
        <v>7.6913063098088763E-2</v>
      </c>
      <c r="AY27" s="224">
        <f t="shared" si="1"/>
        <v>2045</v>
      </c>
    </row>
    <row r="28" spans="1:51" ht="14.1" customHeight="1">
      <c r="A28" s="171">
        <v>21</v>
      </c>
      <c r="B28" s="172">
        <f t="shared" si="19"/>
        <v>2046</v>
      </c>
      <c r="C28" s="476"/>
      <c r="D28" s="478">
        <f t="shared" si="20"/>
        <v>263840.14772700821</v>
      </c>
      <c r="E28" s="174">
        <f t="shared" si="2"/>
        <v>-3.2500000000000001E-2</v>
      </c>
      <c r="F28" s="173">
        <f t="shared" si="3"/>
        <v>-58022.563180074467</v>
      </c>
      <c r="G28" s="235">
        <f t="shared" si="21"/>
        <v>-8574.8048011277679</v>
      </c>
      <c r="H28" s="360">
        <v>0</v>
      </c>
      <c r="I28" s="173">
        <f t="shared" si="34"/>
        <v>49447.758378946703</v>
      </c>
      <c r="J28" s="173">
        <f t="shared" si="22"/>
        <v>783807.61065193859</v>
      </c>
      <c r="K28" s="226">
        <f t="shared" si="23"/>
        <v>-4.95369248436653E-2</v>
      </c>
      <c r="L28" s="483">
        <f t="shared" si="40"/>
        <v>0</v>
      </c>
      <c r="M28" s="559">
        <f t="shared" si="4"/>
        <v>0</v>
      </c>
      <c r="N28" s="557">
        <f t="shared" si="5"/>
        <v>0</v>
      </c>
      <c r="O28" s="235">
        <f t="shared" si="41"/>
        <v>0</v>
      </c>
      <c r="P28" s="427">
        <f t="shared" si="7"/>
        <v>0</v>
      </c>
      <c r="Q28" s="427">
        <f t="shared" si="25"/>
        <v>0</v>
      </c>
      <c r="R28" s="566">
        <f t="shared" si="26"/>
        <v>58595.007630132102</v>
      </c>
      <c r="S28" s="512">
        <f t="shared" si="27"/>
        <v>49447.758378946703</v>
      </c>
      <c r="T28" s="496">
        <f t="shared" si="28"/>
        <v>4.7173972885848792E-2</v>
      </c>
      <c r="V28" s="534">
        <f t="shared" si="35"/>
        <v>-2679.2014068245994</v>
      </c>
      <c r="W28" s="235">
        <f t="shared" si="29"/>
        <v>30153.515689785901</v>
      </c>
      <c r="X28" s="174">
        <f>IF(AfA_Art=AfA!B$15,VLOOKUP(A28,AfA_Tabelle,2),IF(AfA_Art=AfA!C$15,VLOOKUP(A28,AfA_Tabelle,3),IF(AfA_Art=AfA!D$15,VLOOKUP(A28,AfA_Tabelle,4),IF(AfA_Art=AfA!E$15,VLOOKUP(A28,AfA_Tabelle,5),IF(AfA_Art=AfA!F$15,VLOOKUP(A28,AfA_Tabelle,6),"tbd")))))</f>
        <v>0.02</v>
      </c>
      <c r="Y28" s="337">
        <f>IF(OR(AfA_Art=AfA!B$15,AfA_Art=AfA!C$15),-X28*RBWnach6Jahren*(A28&gt;=7),IF(OR(AfA_Art=AfA!D$15,AfA_Art=AfA!E$15,AfA_Art=AfA!F$15),AFABasis*-X28,"check"))</f>
        <v>-18491.2</v>
      </c>
      <c r="Z28" s="377">
        <v>0</v>
      </c>
      <c r="AA28" s="235">
        <f t="shared" si="36"/>
        <v>-18491.2</v>
      </c>
      <c r="AB28" s="337">
        <f t="shared" si="42"/>
        <v>536244.80000000098</v>
      </c>
      <c r="AC28" s="536">
        <f t="shared" si="31"/>
        <v>408.30948183353394</v>
      </c>
      <c r="AD28" s="529">
        <f t="shared" si="8"/>
        <v>-0.42</v>
      </c>
      <c r="AE28" s="181"/>
      <c r="AF28" s="219">
        <f t="shared" si="37"/>
        <v>-171.48998237008425</v>
      </c>
      <c r="AG28" s="218">
        <f t="shared" si="9"/>
        <v>18899.509481833535</v>
      </c>
      <c r="AH28" s="218">
        <f t="shared" si="10"/>
        <v>18728.019499463451</v>
      </c>
      <c r="AI28" s="219">
        <f t="shared" si="11"/>
        <v>276345.07830070605</v>
      </c>
      <c r="AK28" s="321">
        <f t="shared" si="32"/>
        <v>428733.43599302083</v>
      </c>
      <c r="AL28" s="322">
        <f t="shared" si="12"/>
        <v>334940.08593083813</v>
      </c>
      <c r="AM28" s="322">
        <f t="shared" si="33"/>
        <v>487328.44362315291</v>
      </c>
      <c r="AN28" s="305"/>
      <c r="AO28" s="549">
        <f t="shared" si="13"/>
        <v>246478.38806948936</v>
      </c>
      <c r="AP28" s="247">
        <f t="shared" si="14"/>
        <v>932752.84626103553</v>
      </c>
      <c r="AQ28" s="239">
        <f t="shared" si="38"/>
        <v>1179231.2343305249</v>
      </c>
      <c r="AR28" s="200">
        <f t="shared" si="15"/>
        <v>915391.08660351671</v>
      </c>
      <c r="AS28" s="550">
        <f t="shared" si="16"/>
        <v>365971.32026136294</v>
      </c>
      <c r="AU28" s="176">
        <f t="shared" si="39"/>
        <v>0.31873481994544761</v>
      </c>
      <c r="AV28" s="176">
        <f t="shared" si="17"/>
        <v>1.3262066923146243E-2</v>
      </c>
      <c r="AW28" s="258">
        <f t="shared" si="0"/>
        <v>3.6597132026136294</v>
      </c>
      <c r="AX28" s="378">
        <f t="shared" si="18"/>
        <v>7.6035570340523995E-2</v>
      </c>
      <c r="AY28" s="224">
        <f t="shared" si="1"/>
        <v>2046</v>
      </c>
    </row>
    <row r="29" spans="1:51" ht="14.1" customHeight="1">
      <c r="A29" s="171">
        <v>22</v>
      </c>
      <c r="B29" s="172">
        <f t="shared" si="19"/>
        <v>2047</v>
      </c>
      <c r="C29" s="476"/>
      <c r="D29" s="478">
        <f t="shared" si="20"/>
        <v>214392.38934806152</v>
      </c>
      <c r="E29" s="174">
        <f t="shared" si="2"/>
        <v>-3.2500000000000001E-2</v>
      </c>
      <c r="F29" s="173">
        <f t="shared" si="3"/>
        <v>-58022.563180074467</v>
      </c>
      <c r="G29" s="235">
        <f t="shared" si="21"/>
        <v>-6967.7526538120001</v>
      </c>
      <c r="H29" s="360">
        <v>0</v>
      </c>
      <c r="I29" s="173">
        <f t="shared" si="34"/>
        <v>51054.810526262467</v>
      </c>
      <c r="J29" s="173">
        <f t="shared" si="22"/>
        <v>834862.4211782011</v>
      </c>
      <c r="K29" s="226">
        <f t="shared" si="23"/>
        <v>-5.1146874901084417E-2</v>
      </c>
      <c r="L29" s="483">
        <f t="shared" si="40"/>
        <v>0</v>
      </c>
      <c r="M29" s="559">
        <f t="shared" si="4"/>
        <v>0</v>
      </c>
      <c r="N29" s="557">
        <f t="shared" si="5"/>
        <v>0</v>
      </c>
      <c r="O29" s="235">
        <f t="shared" si="41"/>
        <v>0</v>
      </c>
      <c r="P29" s="427">
        <f t="shared" si="7"/>
        <v>0</v>
      </c>
      <c r="Q29" s="427">
        <f t="shared" si="25"/>
        <v>0</v>
      </c>
      <c r="R29" s="566">
        <f t="shared" si="26"/>
        <v>58595.007630132102</v>
      </c>
      <c r="S29" s="512">
        <f t="shared" si="27"/>
        <v>51054.810526262467</v>
      </c>
      <c r="T29" s="496">
        <f t="shared" si="28"/>
        <v>4.8707127004638875E-2</v>
      </c>
      <c r="V29" s="534">
        <f t="shared" si="35"/>
        <v>-2712.6914244099066</v>
      </c>
      <c r="W29" s="235">
        <f t="shared" si="29"/>
        <v>30530.434635908223</v>
      </c>
      <c r="X29" s="174">
        <f>IF(AfA_Art=AfA!B$15,VLOOKUP(A29,AfA_Tabelle,2),IF(AfA_Art=AfA!C$15,VLOOKUP(A29,AfA_Tabelle,3),IF(AfA_Art=AfA!D$15,VLOOKUP(A29,AfA_Tabelle,4),IF(AfA_Art=AfA!E$15,VLOOKUP(A29,AfA_Tabelle,5),IF(AfA_Art=AfA!F$15,VLOOKUP(A29,AfA_Tabelle,6),"tbd")))))</f>
        <v>0.02</v>
      </c>
      <c r="Y29" s="337">
        <f>IF(OR(AfA_Art=AfA!B$15,AfA_Art=AfA!C$15),-X29*RBWnach6Jahren*(A29&gt;=7),IF(OR(AfA_Art=AfA!D$15,AfA_Art=AfA!E$15,AfA_Art=AfA!F$15),AFABasis*-X29,"check"))</f>
        <v>-18491.2</v>
      </c>
      <c r="Z29" s="377">
        <v>0</v>
      </c>
      <c r="AA29" s="235">
        <f t="shared" si="36"/>
        <v>-18491.2</v>
      </c>
      <c r="AB29" s="337">
        <f t="shared" si="42"/>
        <v>517753.60000000097</v>
      </c>
      <c r="AC29" s="536">
        <f t="shared" si="31"/>
        <v>2358.7905576863159</v>
      </c>
      <c r="AD29" s="529">
        <f t="shared" si="8"/>
        <v>-0.42</v>
      </c>
      <c r="AE29" s="181"/>
      <c r="AF29" s="219">
        <f t="shared" si="37"/>
        <v>-990.69203422825262</v>
      </c>
      <c r="AG29" s="218">
        <f t="shared" si="9"/>
        <v>20849.990557686317</v>
      </c>
      <c r="AH29" s="218">
        <f t="shared" si="10"/>
        <v>19859.298523458063</v>
      </c>
      <c r="AI29" s="219">
        <f t="shared" si="11"/>
        <v>296204.37682416412</v>
      </c>
      <c r="AK29" s="321">
        <f t="shared" si="32"/>
        <v>466911.30495671724</v>
      </c>
      <c r="AL29" s="322">
        <f t="shared" si="12"/>
        <v>354799.3844542962</v>
      </c>
      <c r="AM29" s="322">
        <f t="shared" si="33"/>
        <v>525506.31258684932</v>
      </c>
      <c r="AN29" s="305"/>
      <c r="AO29" s="549">
        <f t="shared" si="13"/>
        <v>248943.17195018425</v>
      </c>
      <c r="AP29" s="247">
        <f t="shared" si="14"/>
        <v>937416.61049234064</v>
      </c>
      <c r="AQ29" s="239">
        <f t="shared" si="38"/>
        <v>1186359.7824425248</v>
      </c>
      <c r="AR29" s="200">
        <f t="shared" si="15"/>
        <v>971967.39309446327</v>
      </c>
      <c r="AS29" s="550">
        <f t="shared" si="16"/>
        <v>392959.166896821</v>
      </c>
      <c r="AU29" s="176">
        <f t="shared" si="39"/>
        <v>0.34223930229648231</v>
      </c>
      <c r="AV29" s="176">
        <f t="shared" si="17"/>
        <v>1.3468961037762295E-2</v>
      </c>
      <c r="AW29" s="258">
        <f t="shared" si="0"/>
        <v>3.92959166896821</v>
      </c>
      <c r="AX29" s="378">
        <f t="shared" si="18"/>
        <v>7.5205325261245237E-2</v>
      </c>
      <c r="AY29" s="224">
        <f t="shared" si="1"/>
        <v>2047</v>
      </c>
    </row>
    <row r="30" spans="1:51" ht="14.1" customHeight="1">
      <c r="A30" s="171">
        <v>23</v>
      </c>
      <c r="B30" s="172">
        <f t="shared" si="19"/>
        <v>2048</v>
      </c>
      <c r="C30" s="476"/>
      <c r="D30" s="478">
        <f t="shared" si="20"/>
        <v>163337.57882179905</v>
      </c>
      <c r="E30" s="174">
        <f t="shared" si="2"/>
        <v>-3.2500000000000001E-2</v>
      </c>
      <c r="F30" s="173">
        <f t="shared" si="3"/>
        <v>-58022.563180074467</v>
      </c>
      <c r="G30" s="235">
        <f t="shared" si="21"/>
        <v>-5308.4713117084693</v>
      </c>
      <c r="H30" s="360">
        <v>0</v>
      </c>
      <c r="I30" s="173">
        <f t="shared" si="34"/>
        <v>52714.091868365998</v>
      </c>
      <c r="J30" s="173">
        <f t="shared" si="22"/>
        <v>887576.5130465671</v>
      </c>
      <c r="K30" s="226">
        <f t="shared" si="23"/>
        <v>-5.2809148335369663E-2</v>
      </c>
      <c r="L30" s="483">
        <f t="shared" si="40"/>
        <v>0</v>
      </c>
      <c r="M30" s="559">
        <f t="shared" si="4"/>
        <v>0</v>
      </c>
      <c r="N30" s="557">
        <f t="shared" si="5"/>
        <v>0</v>
      </c>
      <c r="O30" s="235">
        <f t="shared" si="41"/>
        <v>0</v>
      </c>
      <c r="P30" s="427">
        <f t="shared" si="7"/>
        <v>0</v>
      </c>
      <c r="Q30" s="427">
        <f t="shared" si="25"/>
        <v>0</v>
      </c>
      <c r="R30" s="566">
        <f t="shared" si="26"/>
        <v>58595.007630132102</v>
      </c>
      <c r="S30" s="512">
        <f t="shared" si="27"/>
        <v>52714.091868365998</v>
      </c>
      <c r="T30" s="496">
        <f t="shared" si="28"/>
        <v>5.0290108632289637E-2</v>
      </c>
      <c r="V30" s="534">
        <f t="shared" si="35"/>
        <v>-2746.6000672150303</v>
      </c>
      <c r="W30" s="235">
        <f t="shared" si="29"/>
        <v>30912.065068857075</v>
      </c>
      <c r="X30" s="174">
        <f>IF(AfA_Art=AfA!B$15,VLOOKUP(A30,AfA_Tabelle,2),IF(AfA_Art=AfA!C$15,VLOOKUP(A30,AfA_Tabelle,3),IF(AfA_Art=AfA!D$15,VLOOKUP(A30,AfA_Tabelle,4),IF(AfA_Art=AfA!E$15,VLOOKUP(A30,AfA_Tabelle,5),IF(AfA_Art=AfA!F$15,VLOOKUP(A30,AfA_Tabelle,6),"tbd")))))</f>
        <v>0.02</v>
      </c>
      <c r="Y30" s="337">
        <f>IF(OR(AfA_Art=AfA!B$15,AfA_Art=AfA!C$15),-X30*RBWnach6Jahren*(A30&gt;=7),IF(OR(AfA_Art=AfA!D$15,AfA_Art=AfA!E$15,AfA_Art=AfA!F$15),AFABasis*-X30,"check"))</f>
        <v>-18491.2</v>
      </c>
      <c r="Z30" s="377">
        <v>0</v>
      </c>
      <c r="AA30" s="235">
        <f t="shared" si="36"/>
        <v>-18491.2</v>
      </c>
      <c r="AB30" s="337">
        <f t="shared" si="42"/>
        <v>499262.40000000095</v>
      </c>
      <c r="AC30" s="536">
        <f t="shared" si="31"/>
        <v>4365.7936899335764</v>
      </c>
      <c r="AD30" s="529">
        <f t="shared" si="8"/>
        <v>-0.42</v>
      </c>
      <c r="AE30" s="181"/>
      <c r="AF30" s="219">
        <f t="shared" si="37"/>
        <v>-1833.6333497721021</v>
      </c>
      <c r="AG30" s="218">
        <f t="shared" si="9"/>
        <v>22856.993689933577</v>
      </c>
      <c r="AH30" s="218">
        <f t="shared" si="10"/>
        <v>21023.360340161475</v>
      </c>
      <c r="AI30" s="219">
        <f t="shared" si="11"/>
        <v>317227.7371643256</v>
      </c>
      <c r="AK30" s="321">
        <f t="shared" si="32"/>
        <v>507871.84915577382</v>
      </c>
      <c r="AL30" s="322">
        <f t="shared" si="12"/>
        <v>375822.74479445769</v>
      </c>
      <c r="AM30" s="322">
        <f t="shared" si="33"/>
        <v>566466.8567859059</v>
      </c>
      <c r="AN30" s="305"/>
      <c r="AO30" s="549">
        <f t="shared" si="13"/>
        <v>251432.6036696861</v>
      </c>
      <c r="AP30" s="247">
        <f t="shared" si="14"/>
        <v>942103.69354480226</v>
      </c>
      <c r="AQ30" s="239">
        <f t="shared" si="38"/>
        <v>1193536.2972144883</v>
      </c>
      <c r="AR30" s="200">
        <f t="shared" si="15"/>
        <v>1030198.7183926892</v>
      </c>
      <c r="AS30" s="550">
        <f t="shared" si="16"/>
        <v>421159.04200894595</v>
      </c>
      <c r="AU30" s="176">
        <f t="shared" si="39"/>
        <v>0.36679937468119311</v>
      </c>
      <c r="AV30" s="176">
        <f t="shared" si="17"/>
        <v>1.3678435102179476E-2</v>
      </c>
      <c r="AW30" s="258">
        <f t="shared" si="0"/>
        <v>4.2115904200894594</v>
      </c>
      <c r="AX30" s="378">
        <f t="shared" si="18"/>
        <v>7.4416380003879956E-2</v>
      </c>
      <c r="AY30" s="224">
        <f t="shared" si="1"/>
        <v>2048</v>
      </c>
    </row>
    <row r="31" spans="1:51" ht="14.1" customHeight="1">
      <c r="A31" s="171">
        <v>24</v>
      </c>
      <c r="B31" s="172">
        <f t="shared" si="19"/>
        <v>2049</v>
      </c>
      <c r="C31" s="476"/>
      <c r="D31" s="478">
        <f t="shared" si="20"/>
        <v>110623.48695343305</v>
      </c>
      <c r="E31" s="174">
        <f t="shared" si="2"/>
        <v>-3.2500000000000001E-2</v>
      </c>
      <c r="F31" s="173">
        <f t="shared" si="3"/>
        <v>-58022.563180074467</v>
      </c>
      <c r="G31" s="235">
        <f t="shared" si="21"/>
        <v>-3595.2633259865743</v>
      </c>
      <c r="H31" s="360">
        <v>0</v>
      </c>
      <c r="I31" s="173">
        <f t="shared" si="34"/>
        <v>54427.299854087891</v>
      </c>
      <c r="J31" s="173">
        <f t="shared" si="22"/>
        <v>942003.81290065497</v>
      </c>
      <c r="K31" s="226">
        <f t="shared" si="23"/>
        <v>-5.4525445656269177E-2</v>
      </c>
      <c r="L31" s="483">
        <f t="shared" si="40"/>
        <v>0</v>
      </c>
      <c r="M31" s="559">
        <f t="shared" si="4"/>
        <v>0</v>
      </c>
      <c r="N31" s="557">
        <f t="shared" si="5"/>
        <v>0</v>
      </c>
      <c r="O31" s="235">
        <f t="shared" si="41"/>
        <v>0</v>
      </c>
      <c r="P31" s="427">
        <f t="shared" si="7"/>
        <v>0</v>
      </c>
      <c r="Q31" s="427">
        <f t="shared" si="25"/>
        <v>0</v>
      </c>
      <c r="R31" s="566">
        <f t="shared" si="26"/>
        <v>58595.007630132102</v>
      </c>
      <c r="S31" s="512">
        <f t="shared" si="27"/>
        <v>54427.299854087891</v>
      </c>
      <c r="T31" s="496">
        <f t="shared" si="28"/>
        <v>5.1924537162839048E-2</v>
      </c>
      <c r="V31" s="534">
        <f t="shared" si="35"/>
        <v>-2780.9325680552179</v>
      </c>
      <c r="W31" s="235">
        <f t="shared" si="29"/>
        <v>31298.465882217788</v>
      </c>
      <c r="X31" s="174">
        <f>IF(AfA_Art=AfA!B$15,VLOOKUP(A31,AfA_Tabelle,2),IF(AfA_Art=AfA!C$15,VLOOKUP(A31,AfA_Tabelle,3),IF(AfA_Art=AfA!D$15,VLOOKUP(A31,AfA_Tabelle,4),IF(AfA_Art=AfA!E$15,VLOOKUP(A31,AfA_Tabelle,5),IF(AfA_Art=AfA!F$15,VLOOKUP(A31,AfA_Tabelle,6),"tbd")))))</f>
        <v>0.02</v>
      </c>
      <c r="Y31" s="337">
        <f>IF(OR(AfA_Art=AfA!B$15,AfA_Art=AfA!C$15),-X31*RBWnach6Jahren*(A31&gt;=7),IF(OR(AfA_Art=AfA!D$15,AfA_Art=AfA!E$15,AfA_Art=AfA!F$15),AFABasis*-X31,"check"))</f>
        <v>-18491.2</v>
      </c>
      <c r="Z31" s="377">
        <v>0</v>
      </c>
      <c r="AA31" s="235">
        <f t="shared" si="36"/>
        <v>-18491.2</v>
      </c>
      <c r="AB31" s="337">
        <f t="shared" si="42"/>
        <v>480771.20000000094</v>
      </c>
      <c r="AC31" s="536">
        <f t="shared" si="31"/>
        <v>6431.0699881759974</v>
      </c>
      <c r="AD31" s="529">
        <f t="shared" si="8"/>
        <v>-0.42</v>
      </c>
      <c r="AE31" s="181"/>
      <c r="AF31" s="219">
        <f t="shared" si="37"/>
        <v>-2701.0493950339187</v>
      </c>
      <c r="AG31" s="218">
        <f t="shared" si="9"/>
        <v>24922.269988175998</v>
      </c>
      <c r="AH31" s="218">
        <f t="shared" si="10"/>
        <v>22221.220593142079</v>
      </c>
      <c r="AI31" s="219">
        <f t="shared" si="11"/>
        <v>339448.9577574677</v>
      </c>
      <c r="AK31" s="321">
        <f t="shared" si="32"/>
        <v>551765.77725564584</v>
      </c>
      <c r="AL31" s="322">
        <f t="shared" si="12"/>
        <v>398043.96538759978</v>
      </c>
      <c r="AM31" s="322">
        <f t="shared" si="33"/>
        <v>610360.78488577798</v>
      </c>
      <c r="AN31" s="305"/>
      <c r="AO31" s="549">
        <f t="shared" si="13"/>
        <v>253946.92970638297</v>
      </c>
      <c r="AP31" s="247">
        <f t="shared" si="14"/>
        <v>946814.21201252611</v>
      </c>
      <c r="AQ31" s="239">
        <f t="shared" si="38"/>
        <v>1200761.1417189091</v>
      </c>
      <c r="AR31" s="200">
        <f t="shared" si="15"/>
        <v>1090137.654765476</v>
      </c>
      <c r="AS31" s="550">
        <f t="shared" si="16"/>
        <v>450605.10710650892</v>
      </c>
      <c r="AU31" s="176">
        <f t="shared" si="39"/>
        <v>0.39244478932808652</v>
      </c>
      <c r="AV31" s="176">
        <f t="shared" si="17"/>
        <v>1.3889789233596961E-2</v>
      </c>
      <c r="AW31" s="258">
        <f t="shared" si="0"/>
        <v>4.5060510710650892</v>
      </c>
      <c r="AX31" s="378">
        <f t="shared" si="18"/>
        <v>7.3663880588668906E-2</v>
      </c>
      <c r="AY31" s="224">
        <f t="shared" si="1"/>
        <v>2049</v>
      </c>
    </row>
    <row r="32" spans="1:51" ht="14.1" customHeight="1">
      <c r="A32" s="171">
        <v>25</v>
      </c>
      <c r="B32" s="172">
        <f t="shared" si="19"/>
        <v>2050</v>
      </c>
      <c r="C32" s="476"/>
      <c r="D32" s="478">
        <f t="shared" si="20"/>
        <v>56196.187099345159</v>
      </c>
      <c r="E32" s="174">
        <f t="shared" si="2"/>
        <v>-3.2500000000000001E-2</v>
      </c>
      <c r="F32" s="173">
        <f t="shared" si="3"/>
        <v>-58022.563180074467</v>
      </c>
      <c r="G32" s="235">
        <f t="shared" si="21"/>
        <v>-1826.3760807287179</v>
      </c>
      <c r="H32" s="360">
        <v>0</v>
      </c>
      <c r="I32" s="173">
        <f t="shared" si="34"/>
        <v>56196.187099345749</v>
      </c>
      <c r="J32" s="173">
        <f t="shared" si="22"/>
        <v>998200.0000000007</v>
      </c>
      <c r="K32" s="226">
        <f t="shared" si="23"/>
        <v>-5.6297522640097922E-2</v>
      </c>
      <c r="L32" s="483">
        <f t="shared" si="40"/>
        <v>0</v>
      </c>
      <c r="M32" s="559">
        <f t="shared" si="4"/>
        <v>0</v>
      </c>
      <c r="N32" s="557">
        <f t="shared" si="5"/>
        <v>0</v>
      </c>
      <c r="O32" s="235">
        <f t="shared" si="41"/>
        <v>0</v>
      </c>
      <c r="P32" s="427">
        <f t="shared" si="7"/>
        <v>0</v>
      </c>
      <c r="Q32" s="427">
        <f t="shared" si="25"/>
        <v>0</v>
      </c>
      <c r="R32" s="566">
        <f t="shared" si="26"/>
        <v>58595.007630132102</v>
      </c>
      <c r="S32" s="512">
        <f t="shared" si="27"/>
        <v>56196.187099345749</v>
      </c>
      <c r="T32" s="496">
        <f t="shared" si="28"/>
        <v>5.3612084620631321E-2</v>
      </c>
      <c r="V32" s="534">
        <f t="shared" si="35"/>
        <v>-2815.694225155908</v>
      </c>
      <c r="W32" s="235">
        <f t="shared" si="29"/>
        <v>31689.696705745508</v>
      </c>
      <c r="X32" s="174">
        <f>IF(AfA_Art=AfA!B$15,VLOOKUP(A32,AfA_Tabelle,2),IF(AfA_Art=AfA!C$15,VLOOKUP(A32,AfA_Tabelle,3),IF(AfA_Art=AfA!D$15,VLOOKUP(A32,AfA_Tabelle,4),IF(AfA_Art=AfA!E$15,VLOOKUP(A32,AfA_Tabelle,5),IF(AfA_Art=AfA!F$15,VLOOKUP(A32,AfA_Tabelle,6),"tbd")))))</f>
        <v>0.02</v>
      </c>
      <c r="Y32" s="337">
        <f>IF(OR(AfA_Art=AfA!B$15,AfA_Art=AfA!C$15),-X32*RBWnach6Jahren*(A32&gt;=7),IF(OR(AfA_Art=AfA!D$15,AfA_Art=AfA!E$15,AfA_Art=AfA!F$15),AFABasis*-X32,"check"))</f>
        <v>-18491.2</v>
      </c>
      <c r="Z32" s="377">
        <v>0</v>
      </c>
      <c r="AA32" s="235">
        <f t="shared" si="36"/>
        <v>-18491.2</v>
      </c>
      <c r="AB32" s="337">
        <f t="shared" si="42"/>
        <v>462280.00000000093</v>
      </c>
      <c r="AC32" s="536">
        <f t="shared" si="31"/>
        <v>8556.4263998608803</v>
      </c>
      <c r="AD32" s="529">
        <f t="shared" si="8"/>
        <v>-0.42</v>
      </c>
      <c r="AE32" s="181"/>
      <c r="AF32" s="219">
        <f t="shared" si="37"/>
        <v>-3593.6990879415698</v>
      </c>
      <c r="AG32" s="218">
        <f t="shared" si="9"/>
        <v>27047.626399860881</v>
      </c>
      <c r="AH32" s="218">
        <f t="shared" si="10"/>
        <v>23453.927311919309</v>
      </c>
      <c r="AI32" s="219">
        <f t="shared" si="11"/>
        <v>362902.88506938703</v>
      </c>
      <c r="AK32" s="321">
        <f t="shared" si="32"/>
        <v>598751.16142803384</v>
      </c>
      <c r="AL32" s="322">
        <f t="shared" si="12"/>
        <v>421497.89269951911</v>
      </c>
      <c r="AM32" s="322">
        <f t="shared" si="33"/>
        <v>657346.16905816598</v>
      </c>
      <c r="AN32" s="305"/>
      <c r="AO32" s="549">
        <f t="shared" si="13"/>
        <v>256486.3990034468</v>
      </c>
      <c r="AP32" s="247">
        <f t="shared" si="14"/>
        <v>951548.28307258862</v>
      </c>
      <c r="AQ32" s="239">
        <f t="shared" si="38"/>
        <v>1208034.6820760355</v>
      </c>
      <c r="AR32" s="200">
        <f t="shared" si="15"/>
        <v>1151838.4949766903</v>
      </c>
      <c r="AS32" s="550">
        <f t="shared" si="16"/>
        <v>481332.57477555471</v>
      </c>
      <c r="AU32" s="176">
        <f t="shared" si="39"/>
        <v>0.41920621387872731</v>
      </c>
      <c r="AV32" s="176">
        <f t="shared" si="17"/>
        <v>1.4102422489269628E-2</v>
      </c>
      <c r="AW32" s="258">
        <f t="shared" si="0"/>
        <v>4.8133257477555471</v>
      </c>
      <c r="AX32" s="378">
        <f t="shared" si="18"/>
        <v>7.2943829222390733E-2</v>
      </c>
      <c r="AY32" s="224">
        <f t="shared" si="1"/>
        <v>2050</v>
      </c>
    </row>
    <row r="33" spans="1:51" ht="14.1" customHeight="1">
      <c r="A33" s="171">
        <v>26</v>
      </c>
      <c r="B33" s="172">
        <f t="shared" si="19"/>
        <v>2051</v>
      </c>
      <c r="C33" s="476"/>
      <c r="D33" s="478">
        <f t="shared" si="20"/>
        <v>0</v>
      </c>
      <c r="E33" s="174">
        <f t="shared" si="2"/>
        <v>0</v>
      </c>
      <c r="F33" s="173">
        <f t="shared" si="3"/>
        <v>0</v>
      </c>
      <c r="G33" s="235">
        <f t="shared" si="21"/>
        <v>0</v>
      </c>
      <c r="H33" s="360">
        <v>0</v>
      </c>
      <c r="I33" s="173">
        <f t="shared" si="34"/>
        <v>0</v>
      </c>
      <c r="J33" s="173">
        <f t="shared" si="22"/>
        <v>998200.0000000007</v>
      </c>
      <c r="K33" s="226">
        <f t="shared" si="23"/>
        <v>0</v>
      </c>
      <c r="L33" s="483">
        <f t="shared" si="40"/>
        <v>0</v>
      </c>
      <c r="M33" s="559">
        <f t="shared" si="4"/>
        <v>0</v>
      </c>
      <c r="N33" s="557">
        <f t="shared" si="5"/>
        <v>0</v>
      </c>
      <c r="O33" s="235">
        <f t="shared" si="41"/>
        <v>0</v>
      </c>
      <c r="P33" s="427">
        <f t="shared" si="7"/>
        <v>0</v>
      </c>
      <c r="Q33" s="427">
        <f t="shared" si="25"/>
        <v>0</v>
      </c>
      <c r="R33" s="566">
        <f t="shared" si="26"/>
        <v>58595.007630132102</v>
      </c>
      <c r="S33" s="512">
        <f t="shared" si="27"/>
        <v>0</v>
      </c>
      <c r="T33" s="496">
        <f t="shared" si="28"/>
        <v>0</v>
      </c>
      <c r="V33" s="534">
        <f t="shared" si="35"/>
        <v>-2850.8904029703567</v>
      </c>
      <c r="W33" s="235">
        <f t="shared" si="29"/>
        <v>32085.817914567324</v>
      </c>
      <c r="X33" s="174">
        <f>IF(AfA_Art=AfA!B$15,VLOOKUP(A33,AfA_Tabelle,2),IF(AfA_Art=AfA!C$15,VLOOKUP(A33,AfA_Tabelle,3),IF(AfA_Art=AfA!D$15,VLOOKUP(A33,AfA_Tabelle,4),IF(AfA_Art=AfA!E$15,VLOOKUP(A33,AfA_Tabelle,5),IF(AfA_Art=AfA!F$15,VLOOKUP(A33,AfA_Tabelle,6),"tbd")))))</f>
        <v>0.02</v>
      </c>
      <c r="Y33" s="337">
        <f>IF(OR(AfA_Art=AfA!B$15,AfA_Art=AfA!C$15),-X33*RBWnach6Jahren*(A33&gt;=7),IF(OR(AfA_Art=AfA!D$15,AfA_Art=AfA!E$15,AfA_Art=AfA!F$15),AFABasis*-X33,"check"))</f>
        <v>-18491.2</v>
      </c>
      <c r="Z33" s="377">
        <v>0</v>
      </c>
      <c r="AA33" s="235">
        <f t="shared" si="36"/>
        <v>-18491.2</v>
      </c>
      <c r="AB33" s="337">
        <f t="shared" si="42"/>
        <v>443788.80000000092</v>
      </c>
      <c r="AC33" s="536">
        <f t="shared" si="31"/>
        <v>10743.727511596968</v>
      </c>
      <c r="AD33" s="529">
        <f t="shared" si="8"/>
        <v>-0.42</v>
      </c>
      <c r="AE33" s="181"/>
      <c r="AF33" s="219">
        <f t="shared" si="37"/>
        <v>-4512.3655548707266</v>
      </c>
      <c r="AG33" s="218">
        <f t="shared" si="9"/>
        <v>29234.927511596969</v>
      </c>
      <c r="AH33" s="218">
        <f t="shared" si="10"/>
        <v>24722.56195672624</v>
      </c>
      <c r="AI33" s="219">
        <f t="shared" si="11"/>
        <v>387625.44702611328</v>
      </c>
      <c r="AK33" s="321">
        <f t="shared" si="32"/>
        <v>648993.77897965116</v>
      </c>
      <c r="AL33" s="322">
        <f t="shared" si="12"/>
        <v>446220.45465624536</v>
      </c>
      <c r="AM33" s="322">
        <f t="shared" si="33"/>
        <v>707588.7866097833</v>
      </c>
      <c r="AN33" s="305"/>
      <c r="AO33" s="549">
        <f t="shared" si="13"/>
        <v>259051.26299348127</v>
      </c>
      <c r="AP33" s="247">
        <f t="shared" si="14"/>
        <v>956306.02448795142</v>
      </c>
      <c r="AQ33" s="239">
        <f t="shared" si="38"/>
        <v>1215357.2874814328</v>
      </c>
      <c r="AR33" s="200">
        <f t="shared" si="15"/>
        <v>1215357.2874814328</v>
      </c>
      <c r="AS33" s="550">
        <f t="shared" si="16"/>
        <v>513377.7421376782</v>
      </c>
      <c r="AU33" s="176">
        <f t="shared" si="39"/>
        <v>0.44711526052750233</v>
      </c>
      <c r="AV33" s="176">
        <f t="shared" si="17"/>
        <v>1.4315815202184723E-2</v>
      </c>
      <c r="AW33" s="258">
        <f t="shared" si="0"/>
        <v>5.1337774213767817</v>
      </c>
      <c r="AX33" s="378">
        <f t="shared" si="18"/>
        <v>7.2252904324976219E-2</v>
      </c>
      <c r="AY33" s="224">
        <f t="shared" si="1"/>
        <v>2051</v>
      </c>
    </row>
    <row r="34" spans="1:51" ht="14.1" customHeight="1">
      <c r="A34" s="171">
        <v>27</v>
      </c>
      <c r="B34" s="172">
        <f t="shared" si="19"/>
        <v>2052</v>
      </c>
      <c r="C34" s="476"/>
      <c r="D34" s="478">
        <f t="shared" si="20"/>
        <v>0</v>
      </c>
      <c r="E34" s="174">
        <f t="shared" si="2"/>
        <v>0</v>
      </c>
      <c r="F34" s="173">
        <f t="shared" si="3"/>
        <v>0</v>
      </c>
      <c r="G34" s="235">
        <f t="shared" si="21"/>
        <v>0</v>
      </c>
      <c r="H34" s="360">
        <v>0</v>
      </c>
      <c r="I34" s="173">
        <f t="shared" si="34"/>
        <v>0</v>
      </c>
      <c r="J34" s="173">
        <f t="shared" si="22"/>
        <v>998200.0000000007</v>
      </c>
      <c r="K34" s="226">
        <f t="shared" si="23"/>
        <v>0</v>
      </c>
      <c r="L34" s="483">
        <f t="shared" si="40"/>
        <v>0</v>
      </c>
      <c r="M34" s="559">
        <f t="shared" si="4"/>
        <v>0</v>
      </c>
      <c r="N34" s="557">
        <f t="shared" si="5"/>
        <v>0</v>
      </c>
      <c r="O34" s="235">
        <f t="shared" si="41"/>
        <v>0</v>
      </c>
      <c r="P34" s="427">
        <f t="shared" si="7"/>
        <v>0</v>
      </c>
      <c r="Q34" s="427">
        <f t="shared" si="25"/>
        <v>0</v>
      </c>
      <c r="R34" s="566">
        <f t="shared" si="26"/>
        <v>58595.007630132102</v>
      </c>
      <c r="S34" s="512">
        <f t="shared" si="27"/>
        <v>0</v>
      </c>
      <c r="T34" s="496">
        <f t="shared" si="28"/>
        <v>0</v>
      </c>
      <c r="V34" s="534">
        <f t="shared" si="35"/>
        <v>-2886.5265330074863</v>
      </c>
      <c r="W34" s="235">
        <f t="shared" si="29"/>
        <v>32486.890638499415</v>
      </c>
      <c r="X34" s="174">
        <f>IF(AfA_Art=AfA!B$15,VLOOKUP(A34,AfA_Tabelle,2),IF(AfA_Art=AfA!C$15,VLOOKUP(A34,AfA_Tabelle,3),IF(AfA_Art=AfA!D$15,VLOOKUP(A34,AfA_Tabelle,4),IF(AfA_Art=AfA!E$15,VLOOKUP(A34,AfA_Tabelle,5),IF(AfA_Art=AfA!F$15,VLOOKUP(A34,AfA_Tabelle,6),"tbd")))))</f>
        <v>0.02</v>
      </c>
      <c r="Y34" s="337">
        <f>IF(OR(AfA_Art=AfA!B$15,AfA_Art=AfA!C$15),-X34*RBWnach6Jahren*(A34&gt;=7),IF(OR(AfA_Art=AfA!D$15,AfA_Art=AfA!E$15,AfA_Art=AfA!F$15),AFABasis*-X34,"check"))</f>
        <v>-18491.2</v>
      </c>
      <c r="Z34" s="377">
        <v>0</v>
      </c>
      <c r="AA34" s="235">
        <f t="shared" si="36"/>
        <v>-18491.2</v>
      </c>
      <c r="AB34" s="337">
        <f t="shared" si="42"/>
        <v>425297.60000000091</v>
      </c>
      <c r="AC34" s="536">
        <f t="shared" si="31"/>
        <v>11109.164105491927</v>
      </c>
      <c r="AD34" s="529">
        <f t="shared" si="8"/>
        <v>-0.42</v>
      </c>
      <c r="AE34" s="181"/>
      <c r="AF34" s="219">
        <f t="shared" si="37"/>
        <v>-4665.8489243066097</v>
      </c>
      <c r="AG34" s="218">
        <f t="shared" si="9"/>
        <v>29600.364105491928</v>
      </c>
      <c r="AH34" s="218">
        <f t="shared" si="10"/>
        <v>24934.515181185317</v>
      </c>
      <c r="AI34" s="219">
        <f t="shared" si="11"/>
        <v>412559.96220729861</v>
      </c>
      <c r="AK34" s="321">
        <f t="shared" si="32"/>
        <v>701550.90704800992</v>
      </c>
      <c r="AL34" s="322">
        <f t="shared" si="12"/>
        <v>471154.96983743069</v>
      </c>
      <c r="AM34" s="322">
        <f t="shared" si="33"/>
        <v>760145.91467814206</v>
      </c>
      <c r="AN34" s="305"/>
      <c r="AO34" s="549">
        <f t="shared" si="13"/>
        <v>261641.77562341609</v>
      </c>
      <c r="AP34" s="247">
        <f t="shared" si="14"/>
        <v>961087.55461039103</v>
      </c>
      <c r="AQ34" s="239">
        <f t="shared" si="38"/>
        <v>1222729.3302338072</v>
      </c>
      <c r="AR34" s="200">
        <f t="shared" si="15"/>
        <v>1222729.3302338072</v>
      </c>
      <c r="AS34" s="550">
        <f t="shared" si="16"/>
        <v>545684.30007123784</v>
      </c>
      <c r="AU34" s="176">
        <f t="shared" si="39"/>
        <v>0.47525195965096484</v>
      </c>
      <c r="AV34" s="176">
        <f t="shared" si="17"/>
        <v>1.4505261422758986E-2</v>
      </c>
      <c r="AW34" s="258">
        <f t="shared" si="0"/>
        <v>5.4568430007123787</v>
      </c>
      <c r="AX34" s="378">
        <f t="shared" si="18"/>
        <v>7.152115354795896E-2</v>
      </c>
      <c r="AY34" s="224">
        <f t="shared" si="1"/>
        <v>2052</v>
      </c>
    </row>
    <row r="35" spans="1:51" ht="14.1" customHeight="1">
      <c r="A35" s="171">
        <v>28</v>
      </c>
      <c r="B35" s="172">
        <f t="shared" si="19"/>
        <v>2053</v>
      </c>
      <c r="C35" s="476"/>
      <c r="D35" s="478">
        <f t="shared" si="20"/>
        <v>0</v>
      </c>
      <c r="E35" s="174">
        <f t="shared" si="2"/>
        <v>0</v>
      </c>
      <c r="F35" s="173">
        <f t="shared" si="3"/>
        <v>0</v>
      </c>
      <c r="G35" s="235">
        <f t="shared" si="21"/>
        <v>0</v>
      </c>
      <c r="H35" s="360">
        <v>0</v>
      </c>
      <c r="I35" s="173">
        <f t="shared" si="34"/>
        <v>0</v>
      </c>
      <c r="J35" s="173">
        <f t="shared" si="22"/>
        <v>998200.0000000007</v>
      </c>
      <c r="K35" s="226">
        <f t="shared" si="23"/>
        <v>0</v>
      </c>
      <c r="L35" s="483">
        <f t="shared" si="40"/>
        <v>0</v>
      </c>
      <c r="M35" s="559">
        <f t="shared" si="4"/>
        <v>0</v>
      </c>
      <c r="N35" s="557">
        <f t="shared" si="5"/>
        <v>0</v>
      </c>
      <c r="O35" s="235">
        <f t="shared" si="41"/>
        <v>0</v>
      </c>
      <c r="P35" s="427">
        <f t="shared" si="7"/>
        <v>0</v>
      </c>
      <c r="Q35" s="427">
        <f t="shared" si="25"/>
        <v>0</v>
      </c>
      <c r="R35" s="566">
        <f t="shared" si="26"/>
        <v>58595.007630132102</v>
      </c>
      <c r="S35" s="512">
        <f t="shared" si="27"/>
        <v>0</v>
      </c>
      <c r="T35" s="496">
        <f t="shared" si="28"/>
        <v>0</v>
      </c>
      <c r="V35" s="534">
        <f t="shared" si="35"/>
        <v>-2922.6081146700799</v>
      </c>
      <c r="W35" s="235">
        <f t="shared" si="29"/>
        <v>32892.976771480658</v>
      </c>
      <c r="X35" s="174">
        <f>IF(AfA_Art=AfA!B$15,VLOOKUP(A35,AfA_Tabelle,2),IF(AfA_Art=AfA!C$15,VLOOKUP(A35,AfA_Tabelle,3),IF(AfA_Art=AfA!D$15,VLOOKUP(A35,AfA_Tabelle,4),IF(AfA_Art=AfA!E$15,VLOOKUP(A35,AfA_Tabelle,5),IF(AfA_Art=AfA!F$15,VLOOKUP(A35,AfA_Tabelle,6),"tbd")))))</f>
        <v>0.02</v>
      </c>
      <c r="Y35" s="337">
        <f>IF(OR(AfA_Art=AfA!B$15,AfA_Art=AfA!C$15),-X35*RBWnach6Jahren*(A35&gt;=7),IF(OR(AfA_Art=AfA!D$15,AfA_Art=AfA!E$15,AfA_Art=AfA!F$15),AFABasis*-X35,"check"))</f>
        <v>-18491.2</v>
      </c>
      <c r="Z35" s="377">
        <v>0</v>
      </c>
      <c r="AA35" s="235">
        <f>Y35+Z35</f>
        <v>-18491.2</v>
      </c>
      <c r="AB35" s="337">
        <f t="shared" si="42"/>
        <v>406806.4000000009</v>
      </c>
      <c r="AC35" s="536">
        <f t="shared" si="31"/>
        <v>11479.168656810576</v>
      </c>
      <c r="AD35" s="529">
        <f t="shared" si="8"/>
        <v>-0.42</v>
      </c>
      <c r="AE35" s="181"/>
      <c r="AF35" s="219">
        <f t="shared" si="37"/>
        <v>-4821.2508358604418</v>
      </c>
      <c r="AG35" s="218">
        <f t="shared" si="9"/>
        <v>29970.368656810577</v>
      </c>
      <c r="AH35" s="218">
        <f t="shared" si="10"/>
        <v>25149.117820950134</v>
      </c>
      <c r="AI35" s="219">
        <f t="shared" si="11"/>
        <v>437709.08002824872</v>
      </c>
      <c r="AK35" s="321">
        <f t="shared" si="32"/>
        <v>756521.90432738629</v>
      </c>
      <c r="AL35" s="322">
        <f t="shared" si="12"/>
        <v>496304.0876583808</v>
      </c>
      <c r="AM35" s="322">
        <f t="shared" si="33"/>
        <v>815116.91195751843</v>
      </c>
      <c r="AN35" s="305"/>
      <c r="AO35" s="549">
        <f t="shared" si="13"/>
        <v>264258.19337965024</v>
      </c>
      <c r="AP35" s="247">
        <f t="shared" si="14"/>
        <v>965892.99238344294</v>
      </c>
      <c r="AQ35" s="239">
        <f t="shared" si="38"/>
        <v>1230151.1857630932</v>
      </c>
      <c r="AR35" s="200">
        <f t="shared" si="15"/>
        <v>1230151.1857630932</v>
      </c>
      <c r="AS35" s="550">
        <f t="shared" si="16"/>
        <v>578255.27342147403</v>
      </c>
      <c r="AU35" s="176">
        <f t="shared" si="39"/>
        <v>0.50361894567276955</v>
      </c>
      <c r="AV35" s="176">
        <f t="shared" si="17"/>
        <v>1.4673573510203486E-2</v>
      </c>
      <c r="AW35" s="258">
        <f t="shared" si="0"/>
        <v>5.7825527342147405</v>
      </c>
      <c r="AX35" s="378">
        <f t="shared" si="18"/>
        <v>7.0761169900003251E-2</v>
      </c>
      <c r="AY35" s="224">
        <f t="shared" si="1"/>
        <v>2053</v>
      </c>
    </row>
    <row r="36" spans="1:51" ht="14.1" customHeight="1">
      <c r="A36" s="171">
        <v>29</v>
      </c>
      <c r="B36" s="172">
        <f t="shared" si="19"/>
        <v>2054</v>
      </c>
      <c r="C36" s="476"/>
      <c r="D36" s="478">
        <f t="shared" si="20"/>
        <v>0</v>
      </c>
      <c r="E36" s="174">
        <f t="shared" si="2"/>
        <v>0</v>
      </c>
      <c r="F36" s="173">
        <f t="shared" si="3"/>
        <v>0</v>
      </c>
      <c r="G36" s="235">
        <f t="shared" si="21"/>
        <v>0</v>
      </c>
      <c r="H36" s="360">
        <v>0</v>
      </c>
      <c r="I36" s="173">
        <f t="shared" si="34"/>
        <v>0</v>
      </c>
      <c r="J36" s="173">
        <f t="shared" si="22"/>
        <v>998200.0000000007</v>
      </c>
      <c r="K36" s="226">
        <f t="shared" si="23"/>
        <v>0</v>
      </c>
      <c r="L36" s="483">
        <f t="shared" si="40"/>
        <v>0</v>
      </c>
      <c r="M36" s="559">
        <f t="shared" si="4"/>
        <v>0</v>
      </c>
      <c r="N36" s="557">
        <f t="shared" si="5"/>
        <v>0</v>
      </c>
      <c r="O36" s="235">
        <f t="shared" si="41"/>
        <v>0</v>
      </c>
      <c r="P36" s="427">
        <f t="shared" si="7"/>
        <v>0</v>
      </c>
      <c r="Q36" s="427">
        <f t="shared" si="25"/>
        <v>0</v>
      </c>
      <c r="R36" s="566">
        <f t="shared" si="26"/>
        <v>58595.007630132102</v>
      </c>
      <c r="S36" s="512">
        <f t="shared" si="27"/>
        <v>0</v>
      </c>
      <c r="T36" s="496">
        <f t="shared" si="28"/>
        <v>0</v>
      </c>
      <c r="V36" s="534">
        <f t="shared" si="35"/>
        <v>-2959.1407161034558</v>
      </c>
      <c r="W36" s="235">
        <f t="shared" si="29"/>
        <v>33304.138981124168</v>
      </c>
      <c r="X36" s="174">
        <f>IF(AfA_Art=AfA!B$15,VLOOKUP(A36,AfA_Tabelle,2),IF(AfA_Art=AfA!C$15,VLOOKUP(A36,AfA_Tabelle,3),IF(AfA_Art=AfA!D$15,VLOOKUP(A36,AfA_Tabelle,4),IF(AfA_Art=AfA!E$15,VLOOKUP(A36,AfA_Tabelle,5),IF(AfA_Art=AfA!F$15,VLOOKUP(A36,AfA_Tabelle,6),"tbd")))))</f>
        <v>0.02</v>
      </c>
      <c r="Y36" s="337">
        <f>IF(OR(AfA_Art=AfA!B$15,AfA_Art=AfA!C$15),-X36*RBWnach6Jahren*(A36&gt;=7),IF(OR(AfA_Art=AfA!D$15,AfA_Art=AfA!E$15,AfA_Art=AfA!F$15),AFABasis*-X36,"check"))</f>
        <v>-18491.2</v>
      </c>
      <c r="Z36" s="377">
        <v>0</v>
      </c>
      <c r="AA36" s="235">
        <f t="shared" si="36"/>
        <v>-18491.2</v>
      </c>
      <c r="AB36" s="337">
        <f t="shared" si="42"/>
        <v>388315.20000000088</v>
      </c>
      <c r="AC36" s="536">
        <f t="shared" si="31"/>
        <v>11853.798265020712</v>
      </c>
      <c r="AD36" s="529">
        <f t="shared" si="8"/>
        <v>-0.42</v>
      </c>
      <c r="AE36" s="181"/>
      <c r="AF36" s="219">
        <f t="shared" si="37"/>
        <v>-4978.595271308699</v>
      </c>
      <c r="AG36" s="218">
        <f t="shared" si="9"/>
        <v>30344.998265020713</v>
      </c>
      <c r="AH36" s="218">
        <f t="shared" si="10"/>
        <v>25366.402993712014</v>
      </c>
      <c r="AI36" s="219">
        <f t="shared" si="11"/>
        <v>463075.48302196071</v>
      </c>
      <c r="AK36" s="321">
        <f t="shared" si="32"/>
        <v>814010.31254031858</v>
      </c>
      <c r="AL36" s="322">
        <f t="shared" si="12"/>
        <v>521670.49065209279</v>
      </c>
      <c r="AM36" s="322">
        <f t="shared" si="33"/>
        <v>872605.32017045072</v>
      </c>
      <c r="AN36" s="305"/>
      <c r="AO36" s="549">
        <f t="shared" si="13"/>
        <v>266900.77531344676</v>
      </c>
      <c r="AP36" s="247">
        <f t="shared" si="14"/>
        <v>970722.45734536008</v>
      </c>
      <c r="AQ36" s="239">
        <f t="shared" si="38"/>
        <v>1237623.2326588067</v>
      </c>
      <c r="AR36" s="200">
        <f t="shared" si="15"/>
        <v>1237623.2326588067</v>
      </c>
      <c r="AS36" s="550">
        <f t="shared" si="16"/>
        <v>611093.72331089946</v>
      </c>
      <c r="AU36" s="176">
        <f t="shared" si="39"/>
        <v>0.53221888461147837</v>
      </c>
      <c r="AV36" s="176">
        <f t="shared" si="17"/>
        <v>1.4823166491109818E-2</v>
      </c>
      <c r="AW36" s="258">
        <f t="shared" si="0"/>
        <v>6.1109372331089942</v>
      </c>
      <c r="AX36" s="378">
        <f t="shared" si="18"/>
        <v>6.9982778613661534E-2</v>
      </c>
      <c r="AY36" s="224">
        <f t="shared" si="1"/>
        <v>2054</v>
      </c>
    </row>
    <row r="37" spans="1:51" ht="14.1" customHeight="1">
      <c r="A37" s="171">
        <v>30</v>
      </c>
      <c r="B37" s="172">
        <f t="shared" si="19"/>
        <v>2055</v>
      </c>
      <c r="C37" s="476"/>
      <c r="D37" s="478">
        <f t="shared" si="20"/>
        <v>0</v>
      </c>
      <c r="E37" s="174">
        <f t="shared" si="2"/>
        <v>0</v>
      </c>
      <c r="F37" s="173">
        <f t="shared" si="3"/>
        <v>0</v>
      </c>
      <c r="G37" s="235">
        <f t="shared" si="21"/>
        <v>0</v>
      </c>
      <c r="H37" s="360">
        <v>0</v>
      </c>
      <c r="I37" s="173">
        <f t="shared" si="34"/>
        <v>0</v>
      </c>
      <c r="J37" s="173">
        <f t="shared" si="22"/>
        <v>998200.0000000007</v>
      </c>
      <c r="K37" s="226">
        <f t="shared" si="23"/>
        <v>0</v>
      </c>
      <c r="L37" s="483">
        <f t="shared" si="40"/>
        <v>0</v>
      </c>
      <c r="M37" s="559">
        <f t="shared" si="4"/>
        <v>0</v>
      </c>
      <c r="N37" s="557">
        <f t="shared" si="5"/>
        <v>0</v>
      </c>
      <c r="O37" s="235">
        <f t="shared" si="41"/>
        <v>0</v>
      </c>
      <c r="P37" s="427">
        <f t="shared" si="7"/>
        <v>0</v>
      </c>
      <c r="Q37" s="427">
        <f t="shared" si="25"/>
        <v>0</v>
      </c>
      <c r="R37" s="566">
        <f t="shared" si="26"/>
        <v>58595.007630132102</v>
      </c>
      <c r="S37" s="512">
        <f t="shared" si="27"/>
        <v>0</v>
      </c>
      <c r="T37" s="496">
        <f t="shared" si="28"/>
        <v>0</v>
      </c>
      <c r="V37" s="534">
        <f t="shared" si="35"/>
        <v>-2996.1299750547487</v>
      </c>
      <c r="W37" s="235">
        <f t="shared" si="29"/>
        <v>33720.440718388221</v>
      </c>
      <c r="X37" s="174">
        <f>IF(AfA_Art=AfA!B$15,VLOOKUP(A37,AfA_Tabelle,2),IF(AfA_Art=AfA!C$15,VLOOKUP(A37,AfA_Tabelle,3),IF(AfA_Art=AfA!D$15,VLOOKUP(A37,AfA_Tabelle,4),IF(AfA_Art=AfA!E$15,VLOOKUP(A37,AfA_Tabelle,5),IF(AfA_Art=AfA!F$15,VLOOKUP(A37,AfA_Tabelle,6),"tbd")))))</f>
        <v>0.02</v>
      </c>
      <c r="Y37" s="337">
        <f>IF(OR(AfA_Art=AfA!B$15,AfA_Art=AfA!C$15),-X37*RBWnach6Jahren*(A37&gt;=7),IF(OR(AfA_Art=AfA!D$15,AfA_Art=AfA!E$15,AfA_Art=AfA!F$15),AFABasis*-X37,"check"))</f>
        <v>-18491.2</v>
      </c>
      <c r="Z37" s="377">
        <v>0</v>
      </c>
      <c r="AA37" s="235">
        <f t="shared" si="36"/>
        <v>-18491.2</v>
      </c>
      <c r="AB37" s="337">
        <f t="shared" si="42"/>
        <v>369824.00000000087</v>
      </c>
      <c r="AC37" s="536">
        <f t="shared" si="31"/>
        <v>12233.110743333473</v>
      </c>
      <c r="AD37" s="529">
        <f t="shared" si="8"/>
        <v>-0.42</v>
      </c>
      <c r="AE37" s="181"/>
      <c r="AF37" s="219">
        <f>AC37*AD37</f>
        <v>-5137.9065122000584</v>
      </c>
      <c r="AG37" s="218">
        <f t="shared" si="9"/>
        <v>30724.310743333474</v>
      </c>
      <c r="AH37" s="218">
        <f t="shared" ref="AH37:AH38" si="43">AG37+AF37</f>
        <v>25586.404231133416</v>
      </c>
      <c r="AI37" s="219">
        <f t="shared" si="11"/>
        <v>488661.88725309412</v>
      </c>
      <c r="AK37" s="321">
        <f t="shared" si="32"/>
        <v>874124.03154348175</v>
      </c>
      <c r="AL37" s="322">
        <f t="shared" si="12"/>
        <v>547256.89488322625</v>
      </c>
      <c r="AM37" s="322">
        <f t="shared" si="33"/>
        <v>932719.03917361388</v>
      </c>
      <c r="AN37" s="305"/>
      <c r="AO37" s="549">
        <f t="shared" si="13"/>
        <v>269569.78306658124</v>
      </c>
      <c r="AP37" s="247">
        <f t="shared" si="14"/>
        <v>975576.06963208679</v>
      </c>
      <c r="AQ37" s="239">
        <f t="shared" si="38"/>
        <v>1245145.8526986679</v>
      </c>
      <c r="AR37" s="200">
        <f t="shared" si="15"/>
        <v>1245145.8526986679</v>
      </c>
      <c r="AS37" s="550">
        <f t="shared" si="16"/>
        <v>644202.74758189404</v>
      </c>
      <c r="AU37" s="176">
        <f t="shared" si="39"/>
        <v>0.56105447446602863</v>
      </c>
      <c r="AV37" s="176">
        <f t="shared" si="17"/>
        <v>1.4956124639009305E-2</v>
      </c>
      <c r="AW37" s="258">
        <f t="shared" si="0"/>
        <v>6.4420274758189402</v>
      </c>
      <c r="AX37" s="378">
        <f t="shared" si="18"/>
        <v>6.9193661923529159E-2</v>
      </c>
      <c r="AY37" s="224">
        <f t="shared" si="1"/>
        <v>2055</v>
      </c>
    </row>
    <row r="38" spans="1:51" ht="14.1" customHeight="1" thickBot="1">
      <c r="A38" s="171">
        <v>31</v>
      </c>
      <c r="B38" s="172">
        <f t="shared" si="19"/>
        <v>2056</v>
      </c>
      <c r="C38" s="476"/>
      <c r="D38" s="478">
        <f t="shared" si="20"/>
        <v>0</v>
      </c>
      <c r="E38" s="479">
        <f t="shared" si="2"/>
        <v>0</v>
      </c>
      <c r="F38" s="480">
        <f t="shared" si="3"/>
        <v>0</v>
      </c>
      <c r="G38" s="481">
        <f t="shared" si="21"/>
        <v>0</v>
      </c>
      <c r="H38" s="482">
        <v>0</v>
      </c>
      <c r="I38" s="480">
        <f t="shared" si="34"/>
        <v>0</v>
      </c>
      <c r="J38" s="480">
        <f t="shared" ref="J38" si="44">J37-I38</f>
        <v>998200.0000000007</v>
      </c>
      <c r="K38" s="511">
        <f t="shared" si="23"/>
        <v>0</v>
      </c>
      <c r="L38" s="483">
        <f t="shared" si="40"/>
        <v>0</v>
      </c>
      <c r="M38" s="560">
        <f t="shared" si="4"/>
        <v>0</v>
      </c>
      <c r="N38" s="561">
        <f t="shared" si="5"/>
        <v>0</v>
      </c>
      <c r="O38" s="481">
        <f t="shared" ref="O38" si="45">IF(L38&gt;0,L38*M38,0)</f>
        <v>0</v>
      </c>
      <c r="P38" s="484">
        <f t="shared" si="7"/>
        <v>0</v>
      </c>
      <c r="Q38" s="484">
        <f t="shared" si="25"/>
        <v>0</v>
      </c>
      <c r="R38" s="567">
        <f t="shared" si="26"/>
        <v>58595.007630132102</v>
      </c>
      <c r="S38" s="512">
        <f t="shared" si="27"/>
        <v>0</v>
      </c>
      <c r="T38" s="497">
        <f t="shared" si="28"/>
        <v>0</v>
      </c>
      <c r="V38" s="537">
        <f t="shared" si="35"/>
        <v>-3033.5815997429331</v>
      </c>
      <c r="W38" s="481">
        <f t="shared" si="29"/>
        <v>34141.946227368069</v>
      </c>
      <c r="X38" s="479">
        <f>IF(AfA_Art=AfA!B$15,VLOOKUP(A38,AfA_Tabelle,2),IF(AfA_Art=AfA!C$15,VLOOKUP(A38,AfA_Tabelle,3),IF(AfA_Art=AfA!D$15,VLOOKUP(A38,AfA_Tabelle,4),IF(AfA_Art=AfA!E$15,VLOOKUP(A38,AfA_Tabelle,5),IF(AfA_Art=AfA!F$15,VLOOKUP(A38,AfA_Tabelle,6),"tbd")))))</f>
        <v>0.02</v>
      </c>
      <c r="Y38" s="485">
        <f>IF(OR(AfA_Art=AfA!B$15,AfA_Art=AfA!C$15),-X38*RBWnach6Jahren*(A38&gt;=7),IF(OR(AfA_Art=AfA!D$15,AfA_Art=AfA!E$15,AfA_Art=AfA!F$15),AFABasis*-X38,"check"))</f>
        <v>-18491.2</v>
      </c>
      <c r="Z38" s="538">
        <v>0</v>
      </c>
      <c r="AA38" s="481">
        <f t="shared" si="36"/>
        <v>-18491.2</v>
      </c>
      <c r="AB38" s="485">
        <f t="shared" si="42"/>
        <v>351332.80000000086</v>
      </c>
      <c r="AC38" s="539">
        <f t="shared" si="31"/>
        <v>12617.164627625134</v>
      </c>
      <c r="AD38" s="529">
        <f t="shared" si="8"/>
        <v>-0.42</v>
      </c>
      <c r="AE38" s="181"/>
      <c r="AF38" s="219">
        <f t="shared" si="37"/>
        <v>-5299.2091436025557</v>
      </c>
      <c r="AG38" s="218">
        <f t="shared" si="9"/>
        <v>31108.364627625135</v>
      </c>
      <c r="AH38" s="218">
        <f t="shared" si="43"/>
        <v>25809.15548402258</v>
      </c>
      <c r="AI38" s="219">
        <f t="shared" si="11"/>
        <v>514471.04273711669</v>
      </c>
      <c r="AK38" s="321">
        <f t="shared" si="32"/>
        <v>936975.50175126654</v>
      </c>
      <c r="AL38" s="322">
        <f t="shared" si="12"/>
        <v>573066.05036724883</v>
      </c>
      <c r="AM38" s="322">
        <f t="shared" si="33"/>
        <v>995570.50938139868</v>
      </c>
      <c r="AN38" s="305"/>
      <c r="AO38" s="551">
        <f t="shared" si="13"/>
        <v>272265.48089724703</v>
      </c>
      <c r="AP38" s="552">
        <f t="shared" si="14"/>
        <v>980453.94998024707</v>
      </c>
      <c r="AQ38" s="553">
        <f t="shared" si="38"/>
        <v>1252719.4308774942</v>
      </c>
      <c r="AR38" s="554">
        <f t="shared" si="15"/>
        <v>1252719.4308774942</v>
      </c>
      <c r="AS38" s="555">
        <f>AQ38+AL38-Investment</f>
        <v>677585.48124474287</v>
      </c>
      <c r="AU38" s="176">
        <f t="shared" si="39"/>
        <v>0.59012844560594224</v>
      </c>
      <c r="AV38" s="176">
        <f t="shared" si="17"/>
        <v>1.5074255174071904E-2</v>
      </c>
      <c r="AW38" s="258">
        <f t="shared" si="0"/>
        <v>6.7758548124474283</v>
      </c>
      <c r="AX38" s="378">
        <f t="shared" si="18"/>
        <v>6.8399832015872075E-2</v>
      </c>
      <c r="AY38" s="224">
        <f t="shared" si="1"/>
        <v>2056</v>
      </c>
    </row>
    <row r="39" spans="1:51" ht="14.1" customHeight="1">
      <c r="A39" s="166"/>
      <c r="B39" s="166"/>
      <c r="C39" s="166"/>
      <c r="D39" s="166"/>
      <c r="E39" s="166"/>
      <c r="F39" s="166"/>
      <c r="G39" s="166"/>
      <c r="H39" s="166"/>
      <c r="I39" s="166"/>
      <c r="J39" s="166"/>
      <c r="K39" s="166"/>
      <c r="L39" s="166"/>
      <c r="M39" s="166"/>
      <c r="N39" s="166"/>
      <c r="O39" s="166"/>
      <c r="P39" s="166"/>
      <c r="Q39" s="166"/>
      <c r="R39" s="166"/>
      <c r="S39" s="166"/>
      <c r="T39" s="166"/>
      <c r="U39" s="166"/>
      <c r="V39" s="177"/>
      <c r="W39" s="177"/>
      <c r="X39" s="166"/>
      <c r="Z39" s="166"/>
      <c r="AB39" s="177"/>
      <c r="AC39" s="166"/>
      <c r="AD39" s="166"/>
      <c r="AE39" s="166"/>
      <c r="AF39" s="166"/>
      <c r="AG39" s="177"/>
      <c r="AH39" s="166"/>
      <c r="AI39" s="166"/>
      <c r="AK39" s="300" t="s">
        <v>276</v>
      </c>
      <c r="AL39" s="300" t="s">
        <v>276</v>
      </c>
      <c r="AM39" s="300" t="s">
        <v>276</v>
      </c>
      <c r="AN39" s="305"/>
      <c r="AO39" s="178" t="s">
        <v>276</v>
      </c>
      <c r="AP39" s="178" t="s">
        <v>276</v>
      </c>
      <c r="AR39" s="196" t="s">
        <v>276</v>
      </c>
      <c r="AU39" s="180"/>
      <c r="AW39" s="183" t="s">
        <v>662</v>
      </c>
    </row>
    <row r="40" spans="1:51" ht="14.1" customHeight="1">
      <c r="A40" s="181"/>
      <c r="B40" s="181"/>
      <c r="C40" s="182"/>
      <c r="D40" s="182" t="s">
        <v>95</v>
      </c>
      <c r="E40" s="182" t="s">
        <v>96</v>
      </c>
      <c r="F40" s="183" t="s">
        <v>97</v>
      </c>
      <c r="G40" s="183" t="s">
        <v>98</v>
      </c>
      <c r="H40" s="183" t="s">
        <v>99</v>
      </c>
      <c r="I40" s="183" t="s">
        <v>100</v>
      </c>
      <c r="J40" s="183" t="s">
        <v>101</v>
      </c>
      <c r="K40" s="183" t="s">
        <v>450</v>
      </c>
      <c r="L40" s="183" t="s">
        <v>100</v>
      </c>
      <c r="M40" s="183" t="s">
        <v>101</v>
      </c>
      <c r="N40" s="183" t="s">
        <v>450</v>
      </c>
      <c r="O40" s="184" t="s">
        <v>451</v>
      </c>
      <c r="P40" s="183" t="s">
        <v>102</v>
      </c>
      <c r="Q40" s="183" t="s">
        <v>103</v>
      </c>
      <c r="R40" s="183" t="s">
        <v>104</v>
      </c>
      <c r="S40" s="183" t="s">
        <v>105</v>
      </c>
      <c r="T40" s="183" t="s">
        <v>643</v>
      </c>
      <c r="U40" s="183"/>
      <c r="V40" s="184" t="s">
        <v>648</v>
      </c>
      <c r="W40" s="183" t="s">
        <v>106</v>
      </c>
      <c r="X40" s="183" t="s">
        <v>107</v>
      </c>
      <c r="Y40" s="183" t="s">
        <v>108</v>
      </c>
      <c r="Z40" s="183" t="s">
        <v>491</v>
      </c>
      <c r="AA40" s="183" t="s">
        <v>492</v>
      </c>
      <c r="AB40" s="183" t="s">
        <v>493</v>
      </c>
      <c r="AC40" s="183" t="s">
        <v>494</v>
      </c>
      <c r="AD40" s="183" t="s">
        <v>495</v>
      </c>
      <c r="AE40" s="183"/>
      <c r="AF40" s="183" t="s">
        <v>586</v>
      </c>
      <c r="AG40" s="183" t="s">
        <v>587</v>
      </c>
      <c r="AH40" s="183" t="s">
        <v>589</v>
      </c>
      <c r="AI40" s="183" t="s">
        <v>591</v>
      </c>
      <c r="AK40" s="300" t="s">
        <v>276</v>
      </c>
      <c r="AL40" s="300" t="s">
        <v>276</v>
      </c>
      <c r="AM40" s="300" t="s">
        <v>276</v>
      </c>
      <c r="AN40" s="305"/>
      <c r="AO40" s="165" t="s">
        <v>327</v>
      </c>
      <c r="AP40" s="165" t="s">
        <v>327</v>
      </c>
      <c r="AQ40" s="183" t="s">
        <v>592</v>
      </c>
      <c r="AR40" s="196" t="s">
        <v>276</v>
      </c>
      <c r="AS40" s="183" t="s">
        <v>661</v>
      </c>
      <c r="AW40" s="183" t="s">
        <v>557</v>
      </c>
    </row>
    <row r="41" spans="1:51" ht="14.1" customHeight="1">
      <c r="A41" s="181"/>
      <c r="B41" s="181"/>
      <c r="C41" s="181"/>
      <c r="D41" s="181"/>
      <c r="E41" s="181"/>
      <c r="F41" s="182" t="s">
        <v>109</v>
      </c>
      <c r="G41" s="182" t="s">
        <v>109</v>
      </c>
      <c r="H41" s="178" t="s">
        <v>276</v>
      </c>
      <c r="I41" s="182" t="s">
        <v>109</v>
      </c>
      <c r="J41" s="178" t="s">
        <v>276</v>
      </c>
      <c r="K41" s="182" t="s">
        <v>109</v>
      </c>
      <c r="L41" s="182"/>
      <c r="M41" s="182"/>
      <c r="N41" s="182"/>
      <c r="O41" s="182" t="s">
        <v>109</v>
      </c>
      <c r="P41" s="178" t="s">
        <v>276</v>
      </c>
      <c r="Q41" s="182" t="s">
        <v>109</v>
      </c>
      <c r="S41" s="182" t="s">
        <v>109</v>
      </c>
      <c r="T41" s="182" t="s">
        <v>109</v>
      </c>
      <c r="U41" s="182"/>
      <c r="V41" s="185"/>
      <c r="W41" s="185"/>
      <c r="X41" s="181"/>
      <c r="Y41" s="183" t="s">
        <v>649</v>
      </c>
      <c r="Z41" s="181"/>
      <c r="AA41" s="182" t="s">
        <v>109</v>
      </c>
      <c r="AB41" s="366" t="s">
        <v>651</v>
      </c>
      <c r="AC41" s="182" t="s">
        <v>109</v>
      </c>
      <c r="AD41" s="181"/>
      <c r="AE41" s="181"/>
      <c r="AF41" s="182" t="s">
        <v>109</v>
      </c>
      <c r="AG41" s="182" t="s">
        <v>109</v>
      </c>
      <c r="AH41" s="182" t="s">
        <v>109</v>
      </c>
      <c r="AI41" s="182"/>
      <c r="AK41" s="301" t="s">
        <v>276</v>
      </c>
      <c r="AL41" s="306" t="s">
        <v>660</v>
      </c>
      <c r="AM41" s="301" t="s">
        <v>276</v>
      </c>
      <c r="AN41" s="307"/>
      <c r="AO41" s="165" t="s">
        <v>348</v>
      </c>
      <c r="AP41" s="165" t="s">
        <v>328</v>
      </c>
      <c r="AQ41" s="182"/>
      <c r="AR41" s="275" t="s">
        <v>395</v>
      </c>
      <c r="AS41" s="192" t="s">
        <v>293</v>
      </c>
      <c r="AW41" s="192" t="s">
        <v>336</v>
      </c>
    </row>
    <row r="42" spans="1:51" ht="14.1" customHeight="1">
      <c r="A42" s="181"/>
      <c r="B42" s="181"/>
      <c r="C42" s="181"/>
      <c r="D42" s="181"/>
      <c r="E42" s="181"/>
      <c r="F42" s="182" t="s">
        <v>588</v>
      </c>
      <c r="G42" s="182" t="s">
        <v>110</v>
      </c>
      <c r="H42" s="459" t="s">
        <v>448</v>
      </c>
      <c r="I42" s="183" t="s">
        <v>634</v>
      </c>
      <c r="J42" s="222" t="s">
        <v>366</v>
      </c>
      <c r="K42" s="181" t="s">
        <v>635</v>
      </c>
      <c r="L42" s="182"/>
      <c r="M42" s="182"/>
      <c r="N42" s="182"/>
      <c r="O42" s="182" t="s">
        <v>646</v>
      </c>
      <c r="P42" s="569" t="s">
        <v>625</v>
      </c>
      <c r="Q42" s="183" t="s">
        <v>645</v>
      </c>
      <c r="S42" s="222" t="s">
        <v>676</v>
      </c>
      <c r="T42" s="181" t="s">
        <v>644</v>
      </c>
      <c r="U42" s="181"/>
      <c r="V42" s="185"/>
      <c r="W42" s="185"/>
      <c r="X42" s="181"/>
      <c r="Y42" s="656" t="s">
        <v>511</v>
      </c>
      <c r="Z42" s="181"/>
      <c r="AA42" s="182" t="s">
        <v>650</v>
      </c>
      <c r="AB42" s="366" t="s">
        <v>652</v>
      </c>
      <c r="AC42" s="183" t="s">
        <v>653</v>
      </c>
      <c r="AD42" s="181"/>
      <c r="AE42" s="181"/>
      <c r="AF42" s="183" t="s">
        <v>656</v>
      </c>
      <c r="AG42" s="182" t="s">
        <v>657</v>
      </c>
      <c r="AH42" s="182" t="s">
        <v>659</v>
      </c>
      <c r="AI42" s="178" t="s">
        <v>276</v>
      </c>
      <c r="AK42" s="301" t="s">
        <v>276</v>
      </c>
      <c r="AL42" s="306" t="s">
        <v>419</v>
      </c>
      <c r="AM42" s="301" t="s">
        <v>276</v>
      </c>
      <c r="AN42" s="307"/>
      <c r="AO42" s="165" t="s">
        <v>349</v>
      </c>
      <c r="AP42" s="165" t="s">
        <v>215</v>
      </c>
      <c r="AQ42" s="178" t="s">
        <v>276</v>
      </c>
      <c r="AR42" s="275" t="s">
        <v>396</v>
      </c>
      <c r="AS42" s="192" t="s">
        <v>336</v>
      </c>
      <c r="AW42" s="192" t="s">
        <v>335</v>
      </c>
    </row>
    <row r="43" spans="1:51" ht="14.1" customHeight="1">
      <c r="A43" s="181"/>
      <c r="B43" s="181"/>
      <c r="C43" s="181"/>
      <c r="D43" s="181"/>
      <c r="E43" s="181"/>
      <c r="F43" s="181"/>
      <c r="G43" s="181"/>
      <c r="H43" s="460" t="s">
        <v>499</v>
      </c>
      <c r="I43" s="181"/>
      <c r="J43" s="182" t="s">
        <v>48</v>
      </c>
      <c r="K43" s="182" t="s">
        <v>111</v>
      </c>
      <c r="L43" s="181"/>
      <c r="M43" s="181"/>
      <c r="N43" s="181"/>
      <c r="O43" s="181"/>
      <c r="P43" s="569" t="s">
        <v>626</v>
      </c>
      <c r="Q43" s="183"/>
      <c r="S43" s="178" t="s">
        <v>276</v>
      </c>
      <c r="T43" s="182" t="s">
        <v>584</v>
      </c>
      <c r="U43" s="182"/>
      <c r="V43" s="181"/>
      <c r="W43" s="181"/>
      <c r="X43" s="181"/>
      <c r="Y43" s="656"/>
      <c r="Z43" s="659" t="s">
        <v>279</v>
      </c>
      <c r="AA43" s="659"/>
      <c r="AB43" s="181"/>
      <c r="AC43" s="431" t="s">
        <v>654</v>
      </c>
      <c r="AD43" s="181"/>
      <c r="AE43" s="181"/>
      <c r="AF43" s="183" t="s">
        <v>495</v>
      </c>
      <c r="AG43" s="182" t="s">
        <v>658</v>
      </c>
      <c r="AH43" s="182" t="s">
        <v>109</v>
      </c>
      <c r="AI43" s="178" t="s">
        <v>276</v>
      </c>
      <c r="AK43" s="302" t="s">
        <v>276</v>
      </c>
      <c r="AL43" s="308" t="s">
        <v>590</v>
      </c>
      <c r="AM43" s="302" t="s">
        <v>276</v>
      </c>
      <c r="AN43" s="309"/>
      <c r="AO43" s="165" t="s">
        <v>350</v>
      </c>
      <c r="AP43" s="195" t="s">
        <v>344</v>
      </c>
      <c r="AQ43" s="178" t="s">
        <v>276</v>
      </c>
      <c r="AR43" s="183" t="s">
        <v>346</v>
      </c>
      <c r="AS43" s="192" t="s">
        <v>335</v>
      </c>
      <c r="AW43" s="192" t="s">
        <v>118</v>
      </c>
    </row>
    <row r="44" spans="1:51" ht="14.1" customHeight="1">
      <c r="D44" s="186"/>
      <c r="H44" s="460" t="s">
        <v>632</v>
      </c>
      <c r="J44" s="165" t="s">
        <v>479</v>
      </c>
      <c r="P44" s="570" t="s">
        <v>639</v>
      </c>
      <c r="S44" s="222" t="s">
        <v>366</v>
      </c>
      <c r="Y44" s="380" t="s">
        <v>512</v>
      </c>
      <c r="Z44" s="657" t="s">
        <v>509</v>
      </c>
      <c r="AA44" s="657"/>
      <c r="AB44" s="343"/>
      <c r="AG44" s="182" t="s">
        <v>113</v>
      </c>
      <c r="AH44" s="182" t="s">
        <v>114</v>
      </c>
      <c r="AI44" s="178" t="s">
        <v>276</v>
      </c>
      <c r="AK44" s="302" t="s">
        <v>507</v>
      </c>
      <c r="AL44" s="302" t="s">
        <v>276</v>
      </c>
      <c r="AM44" s="302" t="s">
        <v>507</v>
      </c>
      <c r="AN44" s="309"/>
      <c r="AP44" s="195" t="s">
        <v>345</v>
      </c>
      <c r="AQ44" s="178" t="s">
        <v>276</v>
      </c>
      <c r="AR44" s="183" t="s">
        <v>347</v>
      </c>
      <c r="AS44" s="192" t="s">
        <v>118</v>
      </c>
      <c r="AW44" s="193" t="s">
        <v>176</v>
      </c>
    </row>
    <row r="45" spans="1:51" ht="14.1" customHeight="1">
      <c r="B45" s="188"/>
      <c r="C45" s="188"/>
      <c r="D45" s="188"/>
      <c r="E45" s="188"/>
      <c r="F45" s="188"/>
      <c r="G45" s="188"/>
      <c r="H45" s="460" t="s">
        <v>625</v>
      </c>
      <c r="I45" s="188"/>
      <c r="J45" s="362" t="s">
        <v>48</v>
      </c>
      <c r="L45" s="188"/>
      <c r="M45" s="188"/>
      <c r="N45" s="188"/>
      <c r="O45" s="188"/>
      <c r="P45" s="459" t="s">
        <v>570</v>
      </c>
      <c r="Q45" s="188"/>
      <c r="S45" s="182" t="s">
        <v>48</v>
      </c>
      <c r="Y45" s="222" t="s">
        <v>459</v>
      </c>
      <c r="Z45" s="658" t="s">
        <v>502</v>
      </c>
      <c r="AA45" s="658"/>
      <c r="AB45" s="343"/>
      <c r="AC45" s="182" t="s">
        <v>109</v>
      </c>
      <c r="AF45" s="182"/>
      <c r="AG45" s="182" t="s">
        <v>116</v>
      </c>
      <c r="AH45" s="182" t="s">
        <v>287</v>
      </c>
      <c r="AI45" s="178" t="s">
        <v>276</v>
      </c>
      <c r="AK45" s="302" t="s">
        <v>515</v>
      </c>
      <c r="AL45" s="178" t="s">
        <v>276</v>
      </c>
      <c r="AM45" s="302" t="s">
        <v>515</v>
      </c>
      <c r="AN45" s="305"/>
      <c r="AP45" s="165" t="s">
        <v>342</v>
      </c>
      <c r="AQ45" s="178" t="s">
        <v>276</v>
      </c>
      <c r="AR45" s="196" t="s">
        <v>276</v>
      </c>
      <c r="AS45" s="193" t="s">
        <v>176</v>
      </c>
      <c r="AW45" s="222" t="s">
        <v>398</v>
      </c>
    </row>
    <row r="46" spans="1:51" ht="12.75" customHeight="1" thickBot="1">
      <c r="B46" s="188"/>
      <c r="C46" s="188"/>
      <c r="D46" s="188"/>
      <c r="E46" s="188"/>
      <c r="F46" s="188"/>
      <c r="G46" s="188"/>
      <c r="H46" s="460" t="s">
        <v>627</v>
      </c>
      <c r="I46" s="188"/>
      <c r="J46" s="362" t="s">
        <v>363</v>
      </c>
      <c r="L46" s="188"/>
      <c r="M46" s="188"/>
      <c r="N46" s="188"/>
      <c r="O46" s="188"/>
      <c r="P46" s="460" t="s">
        <v>637</v>
      </c>
      <c r="Q46" s="188"/>
      <c r="S46" s="165" t="s">
        <v>479</v>
      </c>
      <c r="Y46" s="183" t="s">
        <v>585</v>
      </c>
      <c r="Z46" s="657" t="s">
        <v>501</v>
      </c>
      <c r="AA46" s="657"/>
      <c r="AC46" s="182" t="s">
        <v>113</v>
      </c>
      <c r="AF46" s="178" t="s">
        <v>276</v>
      </c>
      <c r="AG46" s="373" t="s">
        <v>500</v>
      </c>
      <c r="AH46" s="165" t="s">
        <v>400</v>
      </c>
      <c r="AI46" s="178" t="s">
        <v>276</v>
      </c>
      <c r="AK46" s="178" t="s">
        <v>513</v>
      </c>
      <c r="AL46" s="178" t="s">
        <v>276</v>
      </c>
      <c r="AM46" s="178" t="s">
        <v>513</v>
      </c>
      <c r="AN46" s="305"/>
      <c r="AP46" s="165" t="s">
        <v>329</v>
      </c>
      <c r="AQ46" s="178" t="s">
        <v>276</v>
      </c>
      <c r="AR46" s="196" t="s">
        <v>276</v>
      </c>
      <c r="AW46" s="222" t="s">
        <v>28</v>
      </c>
    </row>
    <row r="47" spans="1:51" ht="14.25" customHeight="1">
      <c r="A47" s="187" t="s">
        <v>45</v>
      </c>
      <c r="B47" s="188"/>
      <c r="C47" s="188"/>
      <c r="D47" s="188"/>
      <c r="E47" s="188"/>
      <c r="F47" s="188"/>
      <c r="G47" s="188"/>
      <c r="H47" s="188"/>
      <c r="I47" s="188"/>
      <c r="J47" s="188"/>
      <c r="K47" s="188"/>
      <c r="L47" s="188"/>
      <c r="M47" s="188"/>
      <c r="N47" s="188"/>
      <c r="O47" s="188"/>
      <c r="P47" s="460" t="s">
        <v>638</v>
      </c>
      <c r="Q47" s="188"/>
      <c r="R47" s="188"/>
      <c r="S47" s="362" t="s">
        <v>48</v>
      </c>
      <c r="Y47" s="183" t="s">
        <v>527</v>
      </c>
      <c r="AC47" s="182" t="s">
        <v>115</v>
      </c>
      <c r="AF47" s="189" t="s">
        <v>282</v>
      </c>
      <c r="AG47" s="373" t="s">
        <v>499</v>
      </c>
      <c r="AH47" s="192" t="s">
        <v>401</v>
      </c>
      <c r="AI47" s="178"/>
      <c r="AK47" s="178" t="s">
        <v>514</v>
      </c>
      <c r="AL47" s="178" t="s">
        <v>276</v>
      </c>
      <c r="AM47" s="178" t="s">
        <v>514</v>
      </c>
      <c r="AN47" s="310"/>
      <c r="AP47" s="165" t="s">
        <v>357</v>
      </c>
      <c r="AR47" s="196" t="s">
        <v>276</v>
      </c>
      <c r="AS47" s="241" t="s">
        <v>52</v>
      </c>
      <c r="AU47" s="251" t="s">
        <v>337</v>
      </c>
      <c r="AV47" s="203" t="s">
        <v>57</v>
      </c>
      <c r="AX47" s="255" t="s">
        <v>365</v>
      </c>
    </row>
    <row r="48" spans="1:51" ht="15.75" customHeight="1">
      <c r="A48" s="165" t="s">
        <v>46</v>
      </c>
      <c r="B48" s="188"/>
      <c r="C48" s="188"/>
      <c r="D48" s="188"/>
      <c r="E48" s="188"/>
      <c r="F48" s="188"/>
      <c r="G48" s="188"/>
      <c r="H48" s="188"/>
      <c r="I48" s="188"/>
      <c r="J48" s="188"/>
      <c r="K48" s="188"/>
      <c r="L48" s="188"/>
      <c r="M48" s="188"/>
      <c r="N48" s="188"/>
      <c r="O48" s="188"/>
      <c r="P48" s="460" t="s">
        <v>625</v>
      </c>
      <c r="Q48" s="188"/>
      <c r="R48" s="188"/>
      <c r="S48" s="362" t="s">
        <v>363</v>
      </c>
      <c r="Y48" s="379" t="s">
        <v>510</v>
      </c>
      <c r="AC48" s="183" t="s">
        <v>175</v>
      </c>
      <c r="AF48" s="165" t="s">
        <v>283</v>
      </c>
      <c r="AG48" s="182" t="s">
        <v>393</v>
      </c>
      <c r="AI48" s="178" t="s">
        <v>276</v>
      </c>
      <c r="AK48" s="178" t="s">
        <v>276</v>
      </c>
      <c r="AL48" s="178" t="s">
        <v>276</v>
      </c>
      <c r="AM48" s="178" t="s">
        <v>276</v>
      </c>
      <c r="AN48" s="310"/>
      <c r="AP48" s="165" t="s">
        <v>353</v>
      </c>
      <c r="AQ48" s="214" t="s">
        <v>52</v>
      </c>
      <c r="AR48" s="197" t="s">
        <v>52</v>
      </c>
      <c r="AS48" s="242" t="s">
        <v>56</v>
      </c>
      <c r="AU48" s="252" t="s">
        <v>338</v>
      </c>
      <c r="AV48" s="204" t="s">
        <v>69</v>
      </c>
      <c r="AX48" s="256" t="s">
        <v>374</v>
      </c>
    </row>
    <row r="49" spans="1:50" ht="14.1" customHeight="1" thickBot="1">
      <c r="A49" s="165" t="s">
        <v>47</v>
      </c>
      <c r="B49" s="188"/>
      <c r="C49" s="188"/>
      <c r="D49" s="188"/>
      <c r="E49" s="188"/>
      <c r="F49" s="188"/>
      <c r="G49" s="188"/>
      <c r="H49" s="188"/>
      <c r="I49" s="188"/>
      <c r="J49" s="188"/>
      <c r="K49" s="188"/>
      <c r="L49" s="188"/>
      <c r="M49" s="188"/>
      <c r="N49" s="188"/>
      <c r="O49" s="188"/>
      <c r="P49" s="460" t="s">
        <v>627</v>
      </c>
      <c r="Q49" s="188"/>
      <c r="R49" s="188"/>
      <c r="S49" s="188"/>
      <c r="T49" s="188"/>
      <c r="U49" s="188"/>
      <c r="AC49" s="182" t="s">
        <v>117</v>
      </c>
      <c r="AF49" s="165" t="s">
        <v>284</v>
      </c>
      <c r="AG49" s="182" t="s">
        <v>394</v>
      </c>
      <c r="AI49" s="178" t="s">
        <v>276</v>
      </c>
      <c r="AK49" s="302" t="s">
        <v>276</v>
      </c>
      <c r="AL49" s="178" t="s">
        <v>276</v>
      </c>
      <c r="AM49" s="178" t="s">
        <v>276</v>
      </c>
      <c r="AN49" s="310"/>
      <c r="AP49" s="165" t="s">
        <v>354</v>
      </c>
      <c r="AQ49" s="215" t="s">
        <v>66</v>
      </c>
      <c r="AR49" s="198" t="s">
        <v>66</v>
      </c>
      <c r="AS49" s="242" t="s">
        <v>67</v>
      </c>
      <c r="AU49" s="252" t="s">
        <v>68</v>
      </c>
      <c r="AV49" s="204" t="s">
        <v>302</v>
      </c>
      <c r="AX49" s="256" t="s">
        <v>381</v>
      </c>
    </row>
    <row r="50" spans="1:50" ht="14.1" customHeight="1">
      <c r="A50" s="165" t="s">
        <v>139</v>
      </c>
      <c r="B50" s="188"/>
      <c r="C50" s="188"/>
      <c r="D50" s="188"/>
      <c r="E50" s="188"/>
      <c r="F50" s="188"/>
      <c r="G50" s="188"/>
      <c r="H50" s="188"/>
      <c r="I50" s="188"/>
      <c r="J50" s="188"/>
      <c r="K50" s="188"/>
      <c r="L50" s="188"/>
      <c r="M50" s="188"/>
      <c r="N50" s="188"/>
      <c r="O50" s="188"/>
      <c r="Q50" s="188"/>
      <c r="R50" s="188"/>
      <c r="S50" s="188"/>
      <c r="T50" s="397" t="s">
        <v>681</v>
      </c>
      <c r="U50" s="526"/>
      <c r="V50" s="398"/>
      <c r="W50" s="276"/>
      <c r="X50" s="385" t="s">
        <v>279</v>
      </c>
      <c r="Y50" s="276"/>
      <c r="Z50" s="276"/>
      <c r="AA50" s="386"/>
      <c r="AC50" s="182" t="s">
        <v>119</v>
      </c>
      <c r="AF50" s="165" t="s">
        <v>496</v>
      </c>
      <c r="AI50" s="178" t="s">
        <v>276</v>
      </c>
      <c r="AK50" s="316" t="s">
        <v>411</v>
      </c>
      <c r="AL50" s="323"/>
      <c r="AM50" s="318" t="s">
        <v>310</v>
      </c>
      <c r="AN50" s="313"/>
      <c r="AP50" s="165" t="s">
        <v>355</v>
      </c>
      <c r="AQ50" s="215" t="s">
        <v>80</v>
      </c>
      <c r="AR50" s="198" t="s">
        <v>210</v>
      </c>
      <c r="AS50" s="242" t="s">
        <v>81</v>
      </c>
      <c r="AU50" s="252" t="s">
        <v>82</v>
      </c>
      <c r="AV50" s="204" t="s">
        <v>303</v>
      </c>
      <c r="AX50" s="256" t="s">
        <v>382</v>
      </c>
    </row>
    <row r="51" spans="1:50" ht="14.1" customHeight="1">
      <c r="A51" s="165" t="s">
        <v>270</v>
      </c>
      <c r="T51" s="387"/>
      <c r="U51" s="188"/>
      <c r="V51" s="646" t="s">
        <v>277</v>
      </c>
      <c r="W51" s="646"/>
      <c r="X51" s="646"/>
      <c r="Y51" s="646"/>
      <c r="Z51" s="646"/>
      <c r="AA51" s="647"/>
      <c r="AC51" s="182" t="s">
        <v>112</v>
      </c>
      <c r="AF51" s="165" t="s">
        <v>286</v>
      </c>
      <c r="AH51" s="261" t="s">
        <v>405</v>
      </c>
      <c r="AI51" s="211"/>
      <c r="AK51" s="319" t="s">
        <v>407</v>
      </c>
      <c r="AL51" s="317" t="s">
        <v>48</v>
      </c>
      <c r="AM51" s="318" t="s">
        <v>412</v>
      </c>
      <c r="AN51" s="314"/>
      <c r="AP51" s="165" t="s">
        <v>356</v>
      </c>
      <c r="AQ51" s="215" t="s">
        <v>92</v>
      </c>
      <c r="AR51" s="198" t="s">
        <v>323</v>
      </c>
      <c r="AS51" s="242" t="s">
        <v>93</v>
      </c>
      <c r="AU51" s="253">
        <f>Investment</f>
        <v>1148200</v>
      </c>
      <c r="AV51" s="204" t="s">
        <v>379</v>
      </c>
      <c r="AX51" s="256" t="s">
        <v>379</v>
      </c>
    </row>
    <row r="52" spans="1:50" ht="14.1" customHeight="1">
      <c r="A52" s="165" t="s">
        <v>271</v>
      </c>
      <c r="T52" s="387"/>
      <c r="U52" s="188"/>
      <c r="V52" s="646" t="s">
        <v>278</v>
      </c>
      <c r="W52" s="646"/>
      <c r="X52" s="646"/>
      <c r="Y52" s="646"/>
      <c r="Z52" s="646"/>
      <c r="AA52" s="647"/>
      <c r="AF52" s="165" t="s">
        <v>341</v>
      </c>
      <c r="AH52" s="262" t="s">
        <v>402</v>
      </c>
      <c r="AI52" s="216" t="s">
        <v>55</v>
      </c>
      <c r="AK52" s="319" t="s">
        <v>413</v>
      </c>
      <c r="AL52" s="318" t="s">
        <v>309</v>
      </c>
      <c r="AM52" s="318" t="s">
        <v>415</v>
      </c>
      <c r="AN52" s="310"/>
      <c r="AQ52" s="215" t="s">
        <v>51</v>
      </c>
      <c r="AR52" s="199" t="s">
        <v>70</v>
      </c>
      <c r="AS52" s="243" t="s">
        <v>51</v>
      </c>
      <c r="AU52" s="252" t="s">
        <v>304</v>
      </c>
      <c r="AV52" s="269" t="s">
        <v>380</v>
      </c>
      <c r="AW52" s="254" t="s">
        <v>312</v>
      </c>
      <c r="AX52" s="257" t="s">
        <v>383</v>
      </c>
    </row>
    <row r="53" spans="1:50" ht="16.5" customHeight="1">
      <c r="T53" s="399" t="s">
        <v>521</v>
      </c>
      <c r="U53" s="527"/>
      <c r="AA53" s="388"/>
      <c r="AC53" s="178" t="s">
        <v>276</v>
      </c>
      <c r="AF53" s="165" t="s">
        <v>343</v>
      </c>
      <c r="AG53" s="178" t="s">
        <v>276</v>
      </c>
      <c r="AH53" s="262" t="s">
        <v>48</v>
      </c>
      <c r="AI53" s="217" t="s">
        <v>54</v>
      </c>
      <c r="AK53" s="319" t="s">
        <v>416</v>
      </c>
      <c r="AL53" s="318" t="s">
        <v>310</v>
      </c>
      <c r="AM53" s="319" t="s">
        <v>416</v>
      </c>
      <c r="AN53" s="315"/>
      <c r="AP53" s="229" t="s">
        <v>288</v>
      </c>
      <c r="AQ53" s="240">
        <f>AQ12</f>
        <v>1071413.0626476244</v>
      </c>
      <c r="AR53" s="200">
        <f t="shared" ref="AR53" si="46">AR12</f>
        <v>189766.82599654351</v>
      </c>
      <c r="AS53" s="244">
        <f t="shared" ref="AS53:AU53" si="47">AS12</f>
        <v>24327.151524713263</v>
      </c>
      <c r="AU53" s="163">
        <f t="shared" si="47"/>
        <v>2.1187207389577828E-2</v>
      </c>
      <c r="AV53" s="176">
        <f>AV12</f>
        <v>4.201979516570864E-3</v>
      </c>
      <c r="AW53" s="229" t="s">
        <v>288</v>
      </c>
      <c r="AX53" s="259">
        <f>AX12</f>
        <v>4.4511429825233817E-2</v>
      </c>
    </row>
    <row r="54" spans="1:50" ht="14.1" customHeight="1">
      <c r="A54" s="165" t="s">
        <v>168</v>
      </c>
      <c r="T54" s="642" t="s">
        <v>655</v>
      </c>
      <c r="U54" s="643"/>
      <c r="V54" s="643"/>
      <c r="W54" s="643"/>
      <c r="X54" s="643"/>
      <c r="Y54" s="643"/>
      <c r="Z54" s="643"/>
      <c r="AA54" s="644"/>
      <c r="AC54" s="189" t="s">
        <v>282</v>
      </c>
      <c r="AF54" s="182"/>
      <c r="AG54" s="189" t="s">
        <v>282</v>
      </c>
      <c r="AH54" s="262" t="s">
        <v>403</v>
      </c>
      <c r="AI54" s="217" t="s">
        <v>79</v>
      </c>
      <c r="AK54" s="326">
        <f>AK6</f>
        <v>4.1759999999999999E-2</v>
      </c>
      <c r="AL54" s="318" t="s">
        <v>311</v>
      </c>
      <c r="AM54" s="326">
        <f>AK54</f>
        <v>4.1759999999999999E-2</v>
      </c>
      <c r="AN54" s="315"/>
      <c r="AP54" s="229" t="s">
        <v>289</v>
      </c>
      <c r="AQ54" s="240">
        <f>AQ17</f>
        <v>1103882.1359965038</v>
      </c>
      <c r="AR54" s="200">
        <f t="shared" ref="AR54" si="48">AR17</f>
        <v>387616.36887100618</v>
      </c>
      <c r="AS54" s="244">
        <f t="shared" ref="AS54:AU54" si="49">AS17</f>
        <v>140288.35462669004</v>
      </c>
      <c r="AU54" s="163">
        <f t="shared" si="49"/>
        <v>0.12218111359230974</v>
      </c>
      <c r="AV54" s="176">
        <f>AV17</f>
        <v>1.1594118195442427E-2</v>
      </c>
      <c r="AW54" s="229" t="s">
        <v>289</v>
      </c>
      <c r="AX54" s="260">
        <f>AX17</f>
        <v>9.1624495260104855E-2</v>
      </c>
    </row>
    <row r="55" spans="1:50" ht="14.1" customHeight="1">
      <c r="A55" s="190" t="s">
        <v>9</v>
      </c>
      <c r="B55" s="191"/>
      <c r="C55" s="191"/>
      <c r="D55" s="191"/>
      <c r="E55" s="191"/>
      <c r="T55" s="642" t="s">
        <v>683</v>
      </c>
      <c r="U55" s="643"/>
      <c r="V55" s="643"/>
      <c r="W55" s="643"/>
      <c r="X55" s="643"/>
      <c r="Y55" s="643"/>
      <c r="Z55" s="643"/>
      <c r="AA55" s="644"/>
      <c r="AC55" s="165" t="s">
        <v>283</v>
      </c>
      <c r="AF55" s="182"/>
      <c r="AG55" s="165" t="s">
        <v>283</v>
      </c>
      <c r="AH55" s="262"/>
      <c r="AI55" s="248" t="s">
        <v>91</v>
      </c>
      <c r="AK55" s="248" t="s">
        <v>91</v>
      </c>
      <c r="AL55" s="248" t="s">
        <v>91</v>
      </c>
      <c r="AM55" s="248" t="s">
        <v>91</v>
      </c>
      <c r="AN55" s="315"/>
      <c r="AP55" s="229" t="s">
        <v>290</v>
      </c>
      <c r="AQ55" s="240">
        <f>AQ22</f>
        <v>1137447.290647988</v>
      </c>
      <c r="AR55" s="200">
        <f t="shared" ref="AR55" si="50">AR22</f>
        <v>607944.61378314858</v>
      </c>
      <c r="AS55" s="244">
        <f t="shared" ref="AS55:AU55" si="51">AS22</f>
        <v>227708.27036393853</v>
      </c>
      <c r="AU55" s="163">
        <f t="shared" si="51"/>
        <v>0.19831760178012414</v>
      </c>
      <c r="AV55" s="176">
        <f>AV22</f>
        <v>1.2134268354172528E-2</v>
      </c>
      <c r="AW55" s="229" t="s">
        <v>290</v>
      </c>
      <c r="AX55" s="260">
        <f>AX22</f>
        <v>8.234527804554026E-2</v>
      </c>
    </row>
    <row r="56" spans="1:50" ht="14.1" customHeight="1">
      <c r="T56" s="642"/>
      <c r="U56" s="643"/>
      <c r="V56" s="643"/>
      <c r="W56" s="643"/>
      <c r="X56" s="643"/>
      <c r="Y56" s="643"/>
      <c r="Z56" s="645"/>
      <c r="AA56" s="644"/>
      <c r="AC56" s="165" t="s">
        <v>284</v>
      </c>
      <c r="AG56" s="165" t="s">
        <v>284</v>
      </c>
      <c r="AH56" s="541" t="s">
        <v>405</v>
      </c>
      <c r="AI56" s="221">
        <f>AI12</f>
        <v>63252.507617053008</v>
      </c>
      <c r="AK56" s="324">
        <f>AK12</f>
        <v>69709.319817687312</v>
      </c>
      <c r="AL56" s="322">
        <f>AL12</f>
        <v>101114.08887708874</v>
      </c>
      <c r="AM56" s="322">
        <f>AM12</f>
        <v>107570.90107772304</v>
      </c>
      <c r="AN56" s="224" t="s">
        <v>312</v>
      </c>
      <c r="AP56" s="229" t="s">
        <v>291</v>
      </c>
      <c r="AQ56" s="240">
        <f>AQ27</f>
        <v>1172150.2928264448</v>
      </c>
      <c r="AR56" s="200">
        <f t="shared" ref="AR56" si="52">AR27</f>
        <v>860418.85369125579</v>
      </c>
      <c r="AS56" s="244">
        <f t="shared" ref="AS56:AU56" si="53">AS27</f>
        <v>340162.3592578196</v>
      </c>
      <c r="AU56" s="163">
        <f t="shared" si="53"/>
        <v>0.29625706258301654</v>
      </c>
      <c r="AV56" s="176">
        <f>AV27</f>
        <v>1.3058574553243663E-2</v>
      </c>
      <c r="AW56" s="229" t="s">
        <v>291</v>
      </c>
      <c r="AX56" s="260">
        <f>AX27</f>
        <v>7.6913063098088763E-2</v>
      </c>
    </row>
    <row r="57" spans="1:50" ht="14.1" customHeight="1">
      <c r="T57" s="642" t="s">
        <v>522</v>
      </c>
      <c r="U57" s="643"/>
      <c r="V57" s="643"/>
      <c r="W57" s="643"/>
      <c r="X57" s="643"/>
      <c r="Y57" s="643"/>
      <c r="Z57" s="645"/>
      <c r="AA57" s="644"/>
      <c r="AC57" s="165" t="s">
        <v>496</v>
      </c>
      <c r="AG57" s="165" t="s">
        <v>285</v>
      </c>
      <c r="AH57" s="541" t="s">
        <v>289</v>
      </c>
      <c r="AI57" s="221">
        <f>AI17</f>
        <v>126011.2110000541</v>
      </c>
      <c r="AK57" s="324">
        <f>AK17</f>
        <v>155786.79257804767</v>
      </c>
      <c r="AL57" s="322">
        <f>AL17</f>
        <v>184606.21863018619</v>
      </c>
      <c r="AM57" s="322">
        <f>AM17</f>
        <v>214381.80020817977</v>
      </c>
      <c r="AN57" s="224" t="s">
        <v>289</v>
      </c>
      <c r="AP57" s="229" t="s">
        <v>292</v>
      </c>
      <c r="AQ57" s="240">
        <f>AQ32</f>
        <v>1208034.6820760355</v>
      </c>
      <c r="AR57" s="200">
        <f t="shared" ref="AR57" si="54">AR32</f>
        <v>1151838.4949766903</v>
      </c>
      <c r="AS57" s="244">
        <f t="shared" ref="AS57:AU57" si="55">AS32</f>
        <v>481332.57477555471</v>
      </c>
      <c r="AU57" s="163">
        <f t="shared" si="55"/>
        <v>0.41920621387872731</v>
      </c>
      <c r="AV57" s="176">
        <f>AV32</f>
        <v>1.4102422489269628E-2</v>
      </c>
      <c r="AW57" s="229" t="s">
        <v>292</v>
      </c>
      <c r="AX57" s="260">
        <f>AX32</f>
        <v>7.2943829222390733E-2</v>
      </c>
    </row>
    <row r="58" spans="1:50" ht="14.1" customHeight="1" thickBot="1">
      <c r="A58" s="122" t="s">
        <v>249</v>
      </c>
      <c r="T58" s="642" t="s">
        <v>684</v>
      </c>
      <c r="U58" s="643"/>
      <c r="V58" s="643"/>
      <c r="W58" s="643"/>
      <c r="X58" s="643"/>
      <c r="Y58" s="643"/>
      <c r="Z58" s="643"/>
      <c r="AA58" s="644"/>
      <c r="AC58" s="165" t="s">
        <v>286</v>
      </c>
      <c r="AG58" s="165" t="s">
        <v>286</v>
      </c>
      <c r="AH58" s="541" t="s">
        <v>290</v>
      </c>
      <c r="AI58" s="221">
        <f>AI22</f>
        <v>179865.97208581842</v>
      </c>
      <c r="AK58" s="324">
        <f>AK22</f>
        <v>250511.02702416526</v>
      </c>
      <c r="AL58" s="322">
        <f>AL22</f>
        <v>238460.97971595053</v>
      </c>
      <c r="AM58" s="322">
        <f>AM22</f>
        <v>309106.03465429734</v>
      </c>
      <c r="AN58" s="224" t="s">
        <v>290</v>
      </c>
      <c r="AP58" s="229" t="s">
        <v>300</v>
      </c>
      <c r="AQ58" s="240">
        <f>AQ37</f>
        <v>1245145.8526986679</v>
      </c>
      <c r="AR58" s="200">
        <f t="shared" ref="AR58" si="56">AR37</f>
        <v>1245145.8526986679</v>
      </c>
      <c r="AS58" s="412">
        <f t="shared" ref="AS58:AU58" si="57">AS37</f>
        <v>644202.74758189404</v>
      </c>
      <c r="AU58" s="163">
        <f t="shared" si="57"/>
        <v>0.56105447446602863</v>
      </c>
      <c r="AV58" s="176">
        <f>AV37</f>
        <v>1.4956124639009305E-2</v>
      </c>
      <c r="AW58" s="229" t="s">
        <v>300</v>
      </c>
      <c r="AX58" s="260">
        <f>AX37</f>
        <v>6.9193661923529159E-2</v>
      </c>
    </row>
    <row r="59" spans="1:50" ht="14.1" customHeight="1">
      <c r="A59" s="57" t="s">
        <v>10</v>
      </c>
      <c r="T59" s="642" t="s">
        <v>693</v>
      </c>
      <c r="U59" s="643"/>
      <c r="V59" s="643"/>
      <c r="W59" s="643"/>
      <c r="X59" s="643"/>
      <c r="Y59" s="643"/>
      <c r="Z59" s="643"/>
      <c r="AA59" s="644"/>
      <c r="AC59" s="165" t="s">
        <v>341</v>
      </c>
      <c r="AG59" s="165" t="s">
        <v>341</v>
      </c>
      <c r="AH59" s="541" t="s">
        <v>291</v>
      </c>
      <c r="AI59" s="221">
        <f>AI27</f>
        <v>257617.05880124259</v>
      </c>
      <c r="AK59" s="324">
        <f>AK27</f>
        <v>393194.57019506273</v>
      </c>
      <c r="AL59" s="322">
        <f>AL27</f>
        <v>316212.0664313747</v>
      </c>
      <c r="AM59" s="322">
        <f>AM27</f>
        <v>451789.57782519481</v>
      </c>
      <c r="AN59" s="224" t="s">
        <v>291</v>
      </c>
      <c r="AR59" s="178" t="s">
        <v>276</v>
      </c>
      <c r="AS59" s="413" t="s">
        <v>308</v>
      </c>
    </row>
    <row r="60" spans="1:50" ht="14.1" customHeight="1">
      <c r="T60" s="642" t="s">
        <v>529</v>
      </c>
      <c r="U60" s="643"/>
      <c r="V60" s="643"/>
      <c r="W60" s="643"/>
      <c r="X60" s="643"/>
      <c r="Y60" s="643"/>
      <c r="Z60" s="643"/>
      <c r="AA60" s="644"/>
      <c r="AC60" s="165" t="s">
        <v>343</v>
      </c>
      <c r="AG60" s="165" t="s">
        <v>343</v>
      </c>
      <c r="AH60" s="541" t="s">
        <v>292</v>
      </c>
      <c r="AI60" s="221">
        <f>AI32</f>
        <v>362902.88506938703</v>
      </c>
      <c r="AK60" s="324">
        <f>AK32</f>
        <v>598751.16142803384</v>
      </c>
      <c r="AL60" s="322">
        <f>AL32</f>
        <v>421497.89269951911</v>
      </c>
      <c r="AM60" s="322">
        <f>AM32</f>
        <v>657346.16905816598</v>
      </c>
      <c r="AN60" s="224" t="s">
        <v>292</v>
      </c>
      <c r="AR60" s="164" t="s">
        <v>324</v>
      </c>
      <c r="AS60" s="414" t="s">
        <v>48</v>
      </c>
    </row>
    <row r="61" spans="1:50" ht="14.1" customHeight="1" thickBot="1">
      <c r="A61" s="635" t="s">
        <v>559</v>
      </c>
      <c r="B61" s="635"/>
      <c r="C61" s="635"/>
      <c r="D61" s="635"/>
      <c r="E61" s="635"/>
      <c r="F61" s="635"/>
      <c r="G61" s="635"/>
      <c r="H61" s="418"/>
      <c r="I61" s="418"/>
      <c r="J61" s="418"/>
      <c r="K61" s="418"/>
      <c r="L61" s="418"/>
      <c r="M61" s="418"/>
      <c r="N61" s="418"/>
      <c r="O61" s="418"/>
      <c r="P61" s="418"/>
      <c r="T61" s="642" t="s">
        <v>530</v>
      </c>
      <c r="U61" s="643"/>
      <c r="V61" s="643"/>
      <c r="W61" s="643"/>
      <c r="X61" s="643"/>
      <c r="Y61" s="643"/>
      <c r="Z61" s="643"/>
      <c r="AA61" s="644"/>
      <c r="AH61" s="541" t="s">
        <v>300</v>
      </c>
      <c r="AI61" s="221">
        <f>AI37</f>
        <v>488661.88725309412</v>
      </c>
      <c r="AK61" s="325">
        <f>AK37</f>
        <v>874124.03154348175</v>
      </c>
      <c r="AL61" s="322">
        <f>AL37</f>
        <v>547256.89488322625</v>
      </c>
      <c r="AM61" s="322">
        <f>AM37</f>
        <v>932719.03917361388</v>
      </c>
      <c r="AN61" s="224" t="s">
        <v>300</v>
      </c>
      <c r="AS61" s="415" t="s">
        <v>215</v>
      </c>
    </row>
    <row r="62" spans="1:50" ht="14.1" customHeight="1">
      <c r="A62" s="635"/>
      <c r="B62" s="635"/>
      <c r="C62" s="635"/>
      <c r="D62" s="635"/>
      <c r="E62" s="635"/>
      <c r="F62" s="635"/>
      <c r="G62" s="635"/>
      <c r="H62" s="418"/>
      <c r="I62" s="418"/>
      <c r="J62" s="418"/>
      <c r="K62" s="418"/>
      <c r="L62" s="418"/>
      <c r="M62" s="418"/>
      <c r="N62" s="418"/>
      <c r="O62" s="418"/>
      <c r="P62" s="418"/>
      <c r="T62" s="393"/>
      <c r="U62" s="395"/>
      <c r="V62" s="395"/>
      <c r="W62" s="395"/>
      <c r="X62" s="395"/>
      <c r="Y62" s="395"/>
      <c r="Z62" s="395"/>
      <c r="AA62" s="390"/>
    </row>
    <row r="63" spans="1:50" ht="14.1" customHeight="1">
      <c r="A63" s="635"/>
      <c r="B63" s="635"/>
      <c r="C63" s="635"/>
      <c r="D63" s="635"/>
      <c r="E63" s="635"/>
      <c r="F63" s="635"/>
      <c r="G63" s="635"/>
      <c r="H63" s="418"/>
      <c r="I63" s="418"/>
      <c r="J63" s="418"/>
      <c r="K63" s="418"/>
      <c r="L63" s="418"/>
      <c r="M63" s="418"/>
      <c r="N63" s="418"/>
      <c r="O63" s="418"/>
      <c r="P63" s="418"/>
      <c r="T63" s="642" t="s">
        <v>685</v>
      </c>
      <c r="U63" s="643"/>
      <c r="V63" s="643"/>
      <c r="W63" s="643"/>
      <c r="X63" s="643"/>
      <c r="Y63" s="643"/>
      <c r="Z63" s="643"/>
      <c r="AA63" s="644"/>
    </row>
    <row r="64" spans="1:50" ht="14.1" customHeight="1">
      <c r="A64" s="635"/>
      <c r="B64" s="635"/>
      <c r="C64" s="635"/>
      <c r="D64" s="635"/>
      <c r="E64" s="635"/>
      <c r="F64" s="635"/>
      <c r="G64" s="635"/>
      <c r="H64" s="418"/>
      <c r="I64" s="418"/>
      <c r="J64" s="418"/>
      <c r="K64" s="418"/>
      <c r="L64" s="418"/>
      <c r="M64" s="418"/>
      <c r="N64" s="418"/>
      <c r="O64" s="418"/>
      <c r="P64" s="418"/>
      <c r="T64" s="642" t="s">
        <v>686</v>
      </c>
      <c r="U64" s="643"/>
      <c r="V64" s="643"/>
      <c r="W64" s="643"/>
      <c r="X64" s="643"/>
      <c r="Y64" s="643"/>
      <c r="Z64" s="643"/>
      <c r="AA64" s="644"/>
    </row>
    <row r="65" spans="1:29" ht="14.1" customHeight="1">
      <c r="A65" s="635"/>
      <c r="B65" s="635"/>
      <c r="C65" s="635"/>
      <c r="D65" s="635"/>
      <c r="E65" s="635"/>
      <c r="F65" s="635"/>
      <c r="G65" s="635"/>
      <c r="H65" s="418"/>
      <c r="I65" s="418"/>
      <c r="J65" s="418"/>
      <c r="K65" s="418"/>
      <c r="L65" s="418"/>
      <c r="M65" s="418"/>
      <c r="N65" s="418"/>
      <c r="O65" s="418"/>
      <c r="P65" s="418"/>
      <c r="T65" s="642" t="s">
        <v>531</v>
      </c>
      <c r="U65" s="643"/>
      <c r="V65" s="643"/>
      <c r="W65" s="643"/>
      <c r="X65" s="643"/>
      <c r="Y65" s="643"/>
      <c r="Z65" s="643"/>
      <c r="AA65" s="644"/>
    </row>
    <row r="66" spans="1:29" ht="14.1" customHeight="1">
      <c r="A66" s="635"/>
      <c r="B66" s="635"/>
      <c r="C66" s="635"/>
      <c r="D66" s="635"/>
      <c r="E66" s="635"/>
      <c r="F66" s="635"/>
      <c r="G66" s="635"/>
      <c r="H66" s="418"/>
      <c r="I66" s="418"/>
      <c r="J66" s="418"/>
      <c r="K66" s="418"/>
      <c r="L66" s="418"/>
      <c r="M66" s="418"/>
      <c r="N66" s="418"/>
      <c r="O66" s="418"/>
      <c r="P66" s="418"/>
      <c r="T66" s="642" t="s">
        <v>690</v>
      </c>
      <c r="U66" s="643"/>
      <c r="V66" s="643"/>
      <c r="W66" s="643"/>
      <c r="X66" s="643" t="s">
        <v>524</v>
      </c>
      <c r="Y66" s="643"/>
      <c r="Z66" s="643"/>
      <c r="AA66" s="390"/>
    </row>
    <row r="67" spans="1:29" ht="14.1" customHeight="1">
      <c r="A67" s="635"/>
      <c r="B67" s="635"/>
      <c r="C67" s="635"/>
      <c r="D67" s="635"/>
      <c r="E67" s="635"/>
      <c r="F67" s="635"/>
      <c r="G67" s="635"/>
      <c r="H67" s="418"/>
      <c r="I67" s="418"/>
      <c r="J67" s="418"/>
      <c r="K67" s="418"/>
      <c r="L67" s="418"/>
      <c r="M67" s="418"/>
      <c r="N67" s="418"/>
      <c r="O67" s="418"/>
      <c r="P67" s="418"/>
      <c r="T67" s="389" t="s">
        <v>523</v>
      </c>
      <c r="U67" s="525"/>
      <c r="V67" s="395"/>
      <c r="W67" s="395"/>
      <c r="X67" s="395"/>
      <c r="Y67" s="395"/>
      <c r="Z67" s="395"/>
      <c r="AA67" s="390"/>
    </row>
    <row r="68" spans="1:29" ht="14.1" customHeight="1">
      <c r="A68" s="635"/>
      <c r="B68" s="635"/>
      <c r="C68" s="635"/>
      <c r="D68" s="635"/>
      <c r="E68" s="635"/>
      <c r="F68" s="635"/>
      <c r="G68" s="635"/>
      <c r="H68" s="418"/>
      <c r="I68" s="418"/>
      <c r="J68" s="418"/>
      <c r="K68" s="418"/>
      <c r="L68" s="418"/>
      <c r="M68" s="418"/>
      <c r="N68" s="418"/>
      <c r="O68" s="418"/>
      <c r="P68" s="418"/>
      <c r="T68" s="642" t="s">
        <v>687</v>
      </c>
      <c r="U68" s="643"/>
      <c r="V68" s="643"/>
      <c r="W68" s="395"/>
      <c r="X68" s="395"/>
      <c r="Y68" s="395"/>
      <c r="Z68" s="395"/>
      <c r="AA68" s="390"/>
    </row>
    <row r="69" spans="1:29" ht="14.1" customHeight="1">
      <c r="A69" s="635"/>
      <c r="B69" s="635"/>
      <c r="C69" s="635"/>
      <c r="D69" s="635"/>
      <c r="E69" s="635"/>
      <c r="F69" s="635"/>
      <c r="G69" s="635"/>
      <c r="H69" s="418"/>
      <c r="I69" s="418"/>
      <c r="J69" s="418"/>
      <c r="K69" s="418"/>
      <c r="L69" s="418"/>
      <c r="M69" s="418"/>
      <c r="N69" s="418"/>
      <c r="O69" s="418"/>
      <c r="P69" s="418"/>
      <c r="T69" s="642" t="s">
        <v>688</v>
      </c>
      <c r="U69" s="643"/>
      <c r="V69" s="643"/>
      <c r="W69" s="643"/>
      <c r="X69" s="643"/>
      <c r="Y69" s="643"/>
      <c r="Z69" s="395"/>
      <c r="AA69" s="390"/>
    </row>
    <row r="70" spans="1:29" ht="14.1" customHeight="1">
      <c r="A70" s="635"/>
      <c r="B70" s="635"/>
      <c r="C70" s="635"/>
      <c r="D70" s="635"/>
      <c r="E70" s="635"/>
      <c r="F70" s="635"/>
      <c r="G70" s="635"/>
      <c r="H70" s="418"/>
      <c r="I70" s="418"/>
      <c r="J70" s="418"/>
      <c r="K70" s="418"/>
      <c r="L70" s="418"/>
      <c r="M70" s="418"/>
      <c r="N70" s="418"/>
      <c r="O70" s="418"/>
      <c r="P70" s="418"/>
      <c r="T70" s="642" t="s">
        <v>691</v>
      </c>
      <c r="U70" s="643"/>
      <c r="V70" s="643"/>
      <c r="W70" s="643"/>
      <c r="X70" s="395"/>
      <c r="Y70" s="395"/>
      <c r="Z70" s="395"/>
      <c r="AA70" s="390"/>
    </row>
    <row r="71" spans="1:29" ht="14.1" customHeight="1">
      <c r="A71" s="635"/>
      <c r="B71" s="635"/>
      <c r="C71" s="635"/>
      <c r="D71" s="635"/>
      <c r="E71" s="635"/>
      <c r="F71" s="635"/>
      <c r="G71" s="635"/>
      <c r="H71" s="418"/>
      <c r="I71" s="418"/>
      <c r="J71" s="418"/>
      <c r="K71" s="418"/>
      <c r="L71" s="418"/>
      <c r="M71" s="418"/>
      <c r="N71" s="418"/>
      <c r="O71" s="418"/>
      <c r="P71" s="418"/>
      <c r="T71" s="642" t="s">
        <v>689</v>
      </c>
      <c r="U71" s="643"/>
      <c r="V71" s="643"/>
      <c r="W71" s="643"/>
      <c r="X71" s="395"/>
      <c r="Y71" s="395"/>
      <c r="Z71" s="395"/>
      <c r="AA71" s="390"/>
      <c r="AC71" s="165" t="s">
        <v>526</v>
      </c>
    </row>
    <row r="72" spans="1:29" ht="14.1" customHeight="1">
      <c r="T72" s="642" t="s">
        <v>528</v>
      </c>
      <c r="U72" s="643"/>
      <c r="V72" s="643"/>
      <c r="W72" s="643"/>
      <c r="X72" s="643"/>
      <c r="Y72" s="396"/>
      <c r="Z72" s="396"/>
      <c r="AA72" s="390"/>
    </row>
    <row r="73" spans="1:29" ht="14.1" customHeight="1">
      <c r="T73" s="642"/>
      <c r="U73" s="643"/>
      <c r="V73" s="643"/>
      <c r="W73" s="643"/>
      <c r="X73" s="643"/>
      <c r="Y73" s="643"/>
      <c r="Z73" s="643"/>
      <c r="AA73" s="644"/>
    </row>
    <row r="74" spans="1:29" ht="14.1" customHeight="1">
      <c r="T74" s="642" t="s">
        <v>525</v>
      </c>
      <c r="U74" s="643"/>
      <c r="V74" s="643"/>
      <c r="W74" s="643"/>
      <c r="X74" s="643"/>
      <c r="Y74" s="643"/>
      <c r="Z74" s="643"/>
      <c r="AA74" s="644"/>
    </row>
    <row r="75" spans="1:29" ht="16.8" customHeight="1">
      <c r="T75" s="642" t="s">
        <v>692</v>
      </c>
      <c r="U75" s="643"/>
      <c r="V75" s="643"/>
      <c r="W75" s="643"/>
      <c r="X75" s="643"/>
      <c r="Y75" s="643"/>
      <c r="Z75" s="643"/>
      <c r="AA75" s="644"/>
    </row>
    <row r="76" spans="1:29" ht="14.1" customHeight="1" thickBot="1">
      <c r="T76" s="394" t="s">
        <v>532</v>
      </c>
      <c r="U76" s="391"/>
      <c r="V76" s="391"/>
      <c r="W76" s="391"/>
      <c r="X76" s="391"/>
      <c r="Y76" s="391"/>
      <c r="Z76" s="391"/>
      <c r="AA76" s="392"/>
    </row>
    <row r="77" spans="1:29" ht="14.1" customHeight="1">
      <c r="C77" s="165" t="s">
        <v>526</v>
      </c>
    </row>
  </sheetData>
  <sheetProtection selectLockedCells="1" selectUnlockedCells="1"/>
  <mergeCells count="41">
    <mergeCell ref="AU1:AX1"/>
    <mergeCell ref="V1:AC1"/>
    <mergeCell ref="AF1:AI1"/>
    <mergeCell ref="D3:K3"/>
    <mergeCell ref="L3:R3"/>
    <mergeCell ref="S1:T1"/>
    <mergeCell ref="S2:T2"/>
    <mergeCell ref="V51:AA51"/>
    <mergeCell ref="V52:AA52"/>
    <mergeCell ref="AO1:AS1"/>
    <mergeCell ref="AK1:AM1"/>
    <mergeCell ref="X3:Y3"/>
    <mergeCell ref="Y42:Y43"/>
    <mergeCell ref="Z44:AA44"/>
    <mergeCell ref="Z45:AA45"/>
    <mergeCell ref="Z43:AA43"/>
    <mergeCell ref="Z46:AA46"/>
    <mergeCell ref="T54:AA54"/>
    <mergeCell ref="T55:AA55"/>
    <mergeCell ref="T56:Y56"/>
    <mergeCell ref="T57:Y57"/>
    <mergeCell ref="Z56:Z57"/>
    <mergeCell ref="AA56:AA57"/>
    <mergeCell ref="T58:AA58"/>
    <mergeCell ref="T59:AA59"/>
    <mergeCell ref="T60:AA60"/>
    <mergeCell ref="T61:AA61"/>
    <mergeCell ref="T63:AA63"/>
    <mergeCell ref="A61:G71"/>
    <mergeCell ref="T74:AA74"/>
    <mergeCell ref="T75:AA75"/>
    <mergeCell ref="T69:Y69"/>
    <mergeCell ref="T70:W70"/>
    <mergeCell ref="T71:W71"/>
    <mergeCell ref="T72:X72"/>
    <mergeCell ref="T73:AA73"/>
    <mergeCell ref="T64:AA64"/>
    <mergeCell ref="T65:AA65"/>
    <mergeCell ref="T66:W66"/>
    <mergeCell ref="X66:Z66"/>
    <mergeCell ref="T68:V68"/>
  </mergeCells>
  <hyperlinks>
    <hyperlink ref="A59" r:id="rId1" xr:uid="{00000000-0004-0000-0200-000000000000}"/>
  </hyperlinks>
  <pageMargins left="0.78749999999999998" right="0.78749999999999998" top="1.0527777777777778" bottom="1.0527777777777778" header="0.78749999999999998" footer="0.78749999999999998"/>
  <pageSetup paperSize="9" firstPageNumber="0" orientation="portrait" horizontalDpi="300" verticalDpi="300" r:id="rId2"/>
  <headerFooter alignWithMargins="0">
    <oddHeader>&amp;C&amp;"Times New Roman,Regular"&amp;12&amp;A</oddHeader>
    <oddFooter>&amp;C&amp;"Times New Roman,Regular"&amp;12Page &amp;P</oddFooter>
  </headerFooter>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42"/>
  <sheetViews>
    <sheetView zoomScale="95" zoomScaleNormal="95" workbookViewId="0">
      <pane xSplit="2" ySplit="1" topLeftCell="K2" activePane="bottomRight" state="frozen"/>
      <selection pane="topRight" activeCell="C1" sqref="C1"/>
      <selection pane="bottomLeft" activeCell="A2" sqref="A2"/>
      <selection pane="bottomRight" activeCell="R42" sqref="R42"/>
    </sheetView>
  </sheetViews>
  <sheetFormatPr baseColWidth="10" defaultRowHeight="13.2"/>
  <cols>
    <col min="1" max="1" width="4.21875" customWidth="1"/>
    <col min="2" max="2" width="34.109375" customWidth="1"/>
    <col min="3" max="32" width="13" bestFit="1" customWidth="1"/>
  </cols>
  <sheetData>
    <row r="1" spans="1:32" ht="18.600000000000001" thickBot="1">
      <c r="A1" s="65"/>
      <c r="B1" s="687" t="s">
        <v>49</v>
      </c>
      <c r="C1" s="85">
        <v>1</v>
      </c>
      <c r="D1" s="83">
        <f>C1+1</f>
        <v>2</v>
      </c>
      <c r="E1" s="83">
        <f t="shared" ref="E1" si="0">D1+1</f>
        <v>3</v>
      </c>
      <c r="F1" s="83">
        <f t="shared" ref="F1" si="1">E1+1</f>
        <v>4</v>
      </c>
      <c r="G1" s="83">
        <f t="shared" ref="G1" si="2">F1+1</f>
        <v>5</v>
      </c>
      <c r="H1" s="83">
        <f t="shared" ref="H1" si="3">G1+1</f>
        <v>6</v>
      </c>
      <c r="I1" s="83">
        <f t="shared" ref="I1" si="4">H1+1</f>
        <v>7</v>
      </c>
      <c r="J1" s="83">
        <f t="shared" ref="J1" si="5">I1+1</f>
        <v>8</v>
      </c>
      <c r="K1" s="83">
        <f t="shared" ref="K1" si="6">J1+1</f>
        <v>9</v>
      </c>
      <c r="L1" s="83">
        <f t="shared" ref="L1" si="7">K1+1</f>
        <v>10</v>
      </c>
      <c r="M1" s="83">
        <f t="shared" ref="M1" si="8">L1+1</f>
        <v>11</v>
      </c>
      <c r="N1" s="83">
        <f t="shared" ref="N1" si="9">M1+1</f>
        <v>12</v>
      </c>
      <c r="O1" s="83">
        <f t="shared" ref="O1" si="10">N1+1</f>
        <v>13</v>
      </c>
      <c r="P1" s="83">
        <f t="shared" ref="P1" si="11">O1+1</f>
        <v>14</v>
      </c>
      <c r="Q1" s="83">
        <f t="shared" ref="Q1" si="12">P1+1</f>
        <v>15</v>
      </c>
      <c r="R1" s="83">
        <f t="shared" ref="R1" si="13">Q1+1</f>
        <v>16</v>
      </c>
      <c r="S1" s="83">
        <f t="shared" ref="S1" si="14">R1+1</f>
        <v>17</v>
      </c>
      <c r="T1" s="83">
        <f t="shared" ref="T1" si="15">S1+1</f>
        <v>18</v>
      </c>
      <c r="U1" s="83">
        <f t="shared" ref="U1" si="16">T1+1</f>
        <v>19</v>
      </c>
      <c r="V1" s="83">
        <f t="shared" ref="V1" si="17">U1+1</f>
        <v>20</v>
      </c>
      <c r="W1" s="83">
        <f t="shared" ref="W1" si="18">V1+1</f>
        <v>21</v>
      </c>
      <c r="X1" s="83">
        <f t="shared" ref="X1" si="19">W1+1</f>
        <v>22</v>
      </c>
      <c r="Y1" s="83">
        <f t="shared" ref="Y1" si="20">X1+1</f>
        <v>23</v>
      </c>
      <c r="Z1" s="83">
        <f t="shared" ref="Z1" si="21">Y1+1</f>
        <v>24</v>
      </c>
      <c r="AA1" s="83">
        <f t="shared" ref="AA1" si="22">Z1+1</f>
        <v>25</v>
      </c>
      <c r="AB1" s="83">
        <f t="shared" ref="AB1" si="23">AA1+1</f>
        <v>26</v>
      </c>
      <c r="AC1" s="83">
        <f t="shared" ref="AC1" si="24">AB1+1</f>
        <v>27</v>
      </c>
      <c r="AD1" s="83">
        <f t="shared" ref="AD1" si="25">AC1+1</f>
        <v>28</v>
      </c>
      <c r="AE1" s="83">
        <f t="shared" ref="AE1" si="26">AD1+1</f>
        <v>29</v>
      </c>
      <c r="AF1" s="84">
        <f t="shared" ref="AF1" si="27">AE1+1</f>
        <v>30</v>
      </c>
    </row>
    <row r="2" spans="1:32" ht="16.2" thickBot="1">
      <c r="A2" s="65"/>
      <c r="B2" s="65"/>
      <c r="C2" s="65"/>
      <c r="D2" s="683" t="s">
        <v>277</v>
      </c>
      <c r="E2" s="683"/>
      <c r="F2" s="683"/>
      <c r="G2" s="683"/>
      <c r="H2" s="65"/>
      <c r="I2" s="683" t="s">
        <v>278</v>
      </c>
      <c r="J2" s="683"/>
      <c r="K2" s="683"/>
      <c r="L2" s="683"/>
      <c r="M2" s="17"/>
      <c r="N2" s="17"/>
      <c r="O2" s="17"/>
      <c r="P2" s="17"/>
      <c r="Q2" s="65"/>
      <c r="R2" s="65"/>
      <c r="S2" s="65"/>
      <c r="T2" s="65"/>
      <c r="U2" s="65"/>
      <c r="V2" s="65"/>
      <c r="W2" s="65"/>
      <c r="X2" s="65"/>
      <c r="Y2" s="65"/>
      <c r="Z2" s="65"/>
      <c r="AA2" s="65"/>
      <c r="AB2" s="65"/>
      <c r="AC2" s="65"/>
      <c r="AD2" s="65"/>
      <c r="AE2" s="65"/>
      <c r="AF2" s="65"/>
    </row>
    <row r="3" spans="1:32" ht="18.600000000000001" thickBot="1">
      <c r="A3" s="65"/>
      <c r="B3" s="684" t="s">
        <v>167</v>
      </c>
      <c r="C3" s="516">
        <f>'Cash &amp; Assets'!B8</f>
        <v>2026</v>
      </c>
      <c r="D3" s="517">
        <f>C3+1</f>
        <v>2027</v>
      </c>
      <c r="E3" s="517">
        <f t="shared" ref="E3:AF3" si="28">D3+1</f>
        <v>2028</v>
      </c>
      <c r="F3" s="517">
        <f t="shared" si="28"/>
        <v>2029</v>
      </c>
      <c r="G3" s="517">
        <f t="shared" si="28"/>
        <v>2030</v>
      </c>
      <c r="H3" s="517">
        <f t="shared" si="28"/>
        <v>2031</v>
      </c>
      <c r="I3" s="517">
        <f t="shared" si="28"/>
        <v>2032</v>
      </c>
      <c r="J3" s="517">
        <f t="shared" si="28"/>
        <v>2033</v>
      </c>
      <c r="K3" s="517">
        <f t="shared" si="28"/>
        <v>2034</v>
      </c>
      <c r="L3" s="517">
        <f t="shared" si="28"/>
        <v>2035</v>
      </c>
      <c r="M3" s="517">
        <f t="shared" si="28"/>
        <v>2036</v>
      </c>
      <c r="N3" s="517">
        <f t="shared" si="28"/>
        <v>2037</v>
      </c>
      <c r="O3" s="517">
        <f t="shared" si="28"/>
        <v>2038</v>
      </c>
      <c r="P3" s="517">
        <f t="shared" si="28"/>
        <v>2039</v>
      </c>
      <c r="Q3" s="517">
        <f t="shared" si="28"/>
        <v>2040</v>
      </c>
      <c r="R3" s="517">
        <f t="shared" si="28"/>
        <v>2041</v>
      </c>
      <c r="S3" s="517">
        <f t="shared" si="28"/>
        <v>2042</v>
      </c>
      <c r="T3" s="517">
        <f t="shared" si="28"/>
        <v>2043</v>
      </c>
      <c r="U3" s="517">
        <f t="shared" si="28"/>
        <v>2044</v>
      </c>
      <c r="V3" s="517">
        <f t="shared" si="28"/>
        <v>2045</v>
      </c>
      <c r="W3" s="517">
        <f t="shared" si="28"/>
        <v>2046</v>
      </c>
      <c r="X3" s="517">
        <f t="shared" si="28"/>
        <v>2047</v>
      </c>
      <c r="Y3" s="517">
        <f t="shared" si="28"/>
        <v>2048</v>
      </c>
      <c r="Z3" s="517">
        <f t="shared" si="28"/>
        <v>2049</v>
      </c>
      <c r="AA3" s="517">
        <f t="shared" si="28"/>
        <v>2050</v>
      </c>
      <c r="AB3" s="517">
        <f t="shared" si="28"/>
        <v>2051</v>
      </c>
      <c r="AC3" s="517">
        <f t="shared" si="28"/>
        <v>2052</v>
      </c>
      <c r="AD3" s="517">
        <f t="shared" si="28"/>
        <v>2053</v>
      </c>
      <c r="AE3" s="517">
        <f t="shared" si="28"/>
        <v>2054</v>
      </c>
      <c r="AF3" s="518">
        <f t="shared" si="28"/>
        <v>2055</v>
      </c>
    </row>
    <row r="4" spans="1:32" ht="14.4" thickBot="1">
      <c r="A4" s="65"/>
      <c r="B4" s="71" t="s">
        <v>166</v>
      </c>
      <c r="C4" s="685">
        <f>'Cash &amp; Assets'!$W$8</f>
        <v>23520</v>
      </c>
      <c r="D4" s="685">
        <f>'Cash &amp; Assets'!$W$9</f>
        <v>23814</v>
      </c>
      <c r="E4" s="685">
        <f>'Cash &amp; Assets'!W$10</f>
        <v>24111.674999999999</v>
      </c>
      <c r="F4" s="685">
        <f>'Cash &amp; Assets'!W$11</f>
        <v>24413.070937499997</v>
      </c>
      <c r="G4" s="685">
        <f>'Cash &amp; Assets'!W$12</f>
        <v>24718.234324218745</v>
      </c>
      <c r="H4" s="685">
        <f>'Cash &amp; Assets'!W$13</f>
        <v>25027.212253271478</v>
      </c>
      <c r="I4" s="685">
        <f>'Cash &amp; Assets'!W$14</f>
        <v>25340.052406437371</v>
      </c>
      <c r="J4" s="685">
        <f>'Cash &amp; Assets'!W$15</f>
        <v>25656.803061517836</v>
      </c>
      <c r="K4" s="685">
        <f>'Cash &amp; Assets'!W$16</f>
        <v>25977.513099786807</v>
      </c>
      <c r="L4" s="685">
        <f>'Cash &amp; Assets'!W$17</f>
        <v>26302.23201353414</v>
      </c>
      <c r="M4" s="685">
        <f>'Cash &amp; Assets'!W$18</f>
        <v>26631.009913703314</v>
      </c>
      <c r="N4" s="685">
        <f>'Cash &amp; Assets'!W$19</f>
        <v>26963.897537624605</v>
      </c>
      <c r="O4" s="685">
        <f>'Cash &amp; Assets'!W$20</f>
        <v>27300.946256844913</v>
      </c>
      <c r="P4" s="685">
        <f>'Cash &amp; Assets'!W$21</f>
        <v>27642.208085055474</v>
      </c>
      <c r="Q4" s="685">
        <f>'Cash &amp; Assets'!W$22</f>
        <v>27987.735686118667</v>
      </c>
      <c r="R4" s="685">
        <f>'Cash &amp; Assets'!W$23</f>
        <v>28337.582382195149</v>
      </c>
      <c r="S4" s="685">
        <f>'Cash &amp; Assets'!W$24</f>
        <v>28691.802161972588</v>
      </c>
      <c r="T4" s="685">
        <f>'Cash &amp; Assets'!W$25</f>
        <v>29050.449688997243</v>
      </c>
      <c r="U4" s="685">
        <f>'Cash &amp; Assets'!W$26</f>
        <v>29413.580310109708</v>
      </c>
      <c r="V4" s="685">
        <f>'Cash &amp; Assets'!W$27</f>
        <v>29781.250063986077</v>
      </c>
      <c r="W4" s="685">
        <f>'Cash &amp; Assets'!W$28</f>
        <v>30153.515689785901</v>
      </c>
      <c r="X4" s="685">
        <f>'Cash &amp; Assets'!W$29</f>
        <v>30530.434635908223</v>
      </c>
      <c r="Y4" s="685">
        <f>'Cash &amp; Assets'!W$30</f>
        <v>30912.065068857075</v>
      </c>
      <c r="Z4" s="685">
        <f>'Cash &amp; Assets'!W$31</f>
        <v>31298.465882217788</v>
      </c>
      <c r="AA4" s="685">
        <f>'Cash &amp; Assets'!W$32</f>
        <v>31689.696705745508</v>
      </c>
      <c r="AB4" s="685">
        <f>'Cash &amp; Assets'!W$33</f>
        <v>32085.817914567324</v>
      </c>
      <c r="AC4" s="685">
        <f>'Cash &amp; Assets'!W$34</f>
        <v>32486.890638499415</v>
      </c>
      <c r="AD4" s="685">
        <f>'Cash &amp; Assets'!W$35</f>
        <v>32892.976771480658</v>
      </c>
      <c r="AE4" s="685">
        <f>'Cash &amp; Assets'!W$36</f>
        <v>33304.138981124168</v>
      </c>
      <c r="AF4" s="686">
        <f>'Cash &amp; Assets'!W$37</f>
        <v>33720.440718388221</v>
      </c>
    </row>
    <row r="5" spans="1:32" ht="14.4" thickBot="1">
      <c r="A5" s="65"/>
      <c r="B5" s="65"/>
      <c r="C5" s="65"/>
      <c r="D5" s="65"/>
      <c r="E5" s="65"/>
      <c r="F5" s="65"/>
      <c r="G5" s="65"/>
      <c r="H5" s="65"/>
      <c r="I5" s="65"/>
      <c r="J5" s="65"/>
      <c r="K5" s="65"/>
      <c r="L5" s="65"/>
      <c r="M5" s="17"/>
      <c r="N5" s="17"/>
      <c r="O5" s="17"/>
      <c r="P5" s="17"/>
      <c r="Q5" s="65"/>
      <c r="R5" s="65"/>
      <c r="S5" s="65"/>
      <c r="T5" s="65"/>
      <c r="U5" s="65"/>
      <c r="V5" s="65"/>
      <c r="W5" s="65"/>
      <c r="X5" s="65"/>
      <c r="Y5" s="65"/>
      <c r="Z5" s="65"/>
      <c r="AA5" s="65"/>
      <c r="AB5" s="65"/>
      <c r="AC5" s="65"/>
      <c r="AD5" s="65"/>
      <c r="AE5" s="65"/>
      <c r="AF5" s="65"/>
    </row>
    <row r="6" spans="1:32" ht="18.600000000000001" thickBot="1">
      <c r="A6" s="65"/>
      <c r="B6" s="684" t="s">
        <v>174</v>
      </c>
      <c r="C6" s="66">
        <f>C3</f>
        <v>2026</v>
      </c>
      <c r="D6" s="67">
        <f>C6+1</f>
        <v>2027</v>
      </c>
      <c r="E6" s="67">
        <f t="shared" ref="E6:AF6" si="29">D6+1</f>
        <v>2028</v>
      </c>
      <c r="F6" s="67">
        <f t="shared" si="29"/>
        <v>2029</v>
      </c>
      <c r="G6" s="67">
        <f t="shared" si="29"/>
        <v>2030</v>
      </c>
      <c r="H6" s="67">
        <f t="shared" si="29"/>
        <v>2031</v>
      </c>
      <c r="I6" s="67">
        <f t="shared" si="29"/>
        <v>2032</v>
      </c>
      <c r="J6" s="67">
        <f t="shared" si="29"/>
        <v>2033</v>
      </c>
      <c r="K6" s="67">
        <f t="shared" si="29"/>
        <v>2034</v>
      </c>
      <c r="L6" s="67">
        <f t="shared" si="29"/>
        <v>2035</v>
      </c>
      <c r="M6" s="67">
        <f t="shared" si="29"/>
        <v>2036</v>
      </c>
      <c r="N6" s="67">
        <f t="shared" si="29"/>
        <v>2037</v>
      </c>
      <c r="O6" s="67">
        <f t="shared" si="29"/>
        <v>2038</v>
      </c>
      <c r="P6" s="67">
        <f t="shared" si="29"/>
        <v>2039</v>
      </c>
      <c r="Q6" s="67">
        <f t="shared" si="29"/>
        <v>2040</v>
      </c>
      <c r="R6" s="67">
        <f t="shared" si="29"/>
        <v>2041</v>
      </c>
      <c r="S6" s="67">
        <f t="shared" si="29"/>
        <v>2042</v>
      </c>
      <c r="T6" s="67">
        <f t="shared" si="29"/>
        <v>2043</v>
      </c>
      <c r="U6" s="67">
        <f t="shared" si="29"/>
        <v>2044</v>
      </c>
      <c r="V6" s="67">
        <f t="shared" si="29"/>
        <v>2045</v>
      </c>
      <c r="W6" s="67">
        <f t="shared" si="29"/>
        <v>2046</v>
      </c>
      <c r="X6" s="67">
        <f t="shared" si="29"/>
        <v>2047</v>
      </c>
      <c r="Y6" s="67">
        <f t="shared" si="29"/>
        <v>2048</v>
      </c>
      <c r="Z6" s="67">
        <f t="shared" si="29"/>
        <v>2049</v>
      </c>
      <c r="AA6" s="67">
        <f t="shared" si="29"/>
        <v>2050</v>
      </c>
      <c r="AB6" s="67">
        <f t="shared" si="29"/>
        <v>2051</v>
      </c>
      <c r="AC6" s="67">
        <f t="shared" si="29"/>
        <v>2052</v>
      </c>
      <c r="AD6" s="67">
        <f t="shared" si="29"/>
        <v>2053</v>
      </c>
      <c r="AE6" s="67">
        <f t="shared" si="29"/>
        <v>2054</v>
      </c>
      <c r="AF6" s="76">
        <f t="shared" si="29"/>
        <v>2055</v>
      </c>
    </row>
    <row r="7" spans="1:32" ht="13.8">
      <c r="B7" s="505" t="s">
        <v>313</v>
      </c>
      <c r="C7" s="138">
        <f>'Cash &amp; Assets'!$AQ$8</f>
        <v>1046199.9999999999</v>
      </c>
      <c r="D7" s="138">
        <f>'Cash &amp; Assets'!$AQ$9</f>
        <v>1052440.9999999998</v>
      </c>
      <c r="E7" s="138">
        <f>'Cash &amp; Assets'!$AQ$10</f>
        <v>1058723.3049999997</v>
      </c>
      <c r="F7" s="138">
        <f>'Cash &amp; Assets'!$AQ$11</f>
        <v>1065047.2225249996</v>
      </c>
      <c r="G7" s="138">
        <f>'Cash &amp; Assets'!$AQ$12</f>
        <v>1071413.0626476244</v>
      </c>
      <c r="H7" s="138">
        <f>'Cash &amp; Assets'!$AQ$13</f>
        <v>1077821.1380109624</v>
      </c>
      <c r="I7" s="138">
        <f>'Cash &amp; Assets'!$AQ$14</f>
        <v>1084271.7638516182</v>
      </c>
      <c r="J7" s="138">
        <f>'Cash &amp; Assets'!$AQ$15</f>
        <v>1090765.2580229831</v>
      </c>
      <c r="K7" s="138">
        <f>'Cash &amp; Assets'!$AQ$16</f>
        <v>1097301.941018726</v>
      </c>
      <c r="L7" s="138">
        <f>'Cash &amp; Assets'!$AQ$17</f>
        <v>1103882.1359965038</v>
      </c>
      <c r="M7" s="138">
        <f>'Cash &amp; Assets'!$AQ$18</f>
        <v>1110506.1688018974</v>
      </c>
      <c r="N7" s="138">
        <f>'Cash &amp; Assets'!$AQ$19</f>
        <v>1117174.3679925723</v>
      </c>
      <c r="O7" s="138">
        <f>'Cash &amp; Assets'!$AQ$20</f>
        <v>1123887.0648626669</v>
      </c>
      <c r="P7" s="138">
        <f>'Cash &amp; Assets'!$AQ$21</f>
        <v>1130644.5934674134</v>
      </c>
      <c r="Q7" s="138">
        <f>'Cash &amp; Assets'!$AQ$22</f>
        <v>1137447.290647988</v>
      </c>
      <c r="R7" s="138">
        <f>'Cash &amp; Assets'!$AQ$23</f>
        <v>1144295.4960565977</v>
      </c>
      <c r="S7" s="138">
        <f>'Cash &amp; Assets'!$AQ$24</f>
        <v>1151189.5521818043</v>
      </c>
      <c r="T7" s="138">
        <f>'Cash &amp; Assets'!$AQ$25</f>
        <v>1158129.8043740862</v>
      </c>
      <c r="U7" s="138">
        <f>'Cash &amp; Assets'!$AQ$26</f>
        <v>1165116.6008716433</v>
      </c>
      <c r="V7" s="138">
        <f>'Cash &amp; Assets'!$AQ$27</f>
        <v>1172150.2928264448</v>
      </c>
      <c r="W7" s="138">
        <f>'Cash &amp; Assets'!$AQ$28</f>
        <v>1179231.2343305249</v>
      </c>
      <c r="X7" s="138">
        <f>'Cash &amp; Assets'!$AQ$29</f>
        <v>1186359.7824425248</v>
      </c>
      <c r="Y7" s="138">
        <f>'Cash &amp; Assets'!$AQ$30</f>
        <v>1193536.2972144883</v>
      </c>
      <c r="Z7" s="138">
        <f>'Cash &amp; Assets'!$AQ$31</f>
        <v>1200761.1417189091</v>
      </c>
      <c r="AA7" s="138">
        <f>'Cash &amp; Assets'!$AQ$32</f>
        <v>1208034.6820760355</v>
      </c>
      <c r="AB7" s="138">
        <f>'Cash &amp; Assets'!$AQ$33</f>
        <v>1215357.2874814328</v>
      </c>
      <c r="AC7" s="138">
        <f>'Cash &amp; Assets'!$AQ$34</f>
        <v>1222729.3302338072</v>
      </c>
      <c r="AD7" s="138">
        <f>'Cash &amp; Assets'!$AQ$35</f>
        <v>1230151.1857630932</v>
      </c>
      <c r="AE7" s="138">
        <f>'Cash &amp; Assets'!$AQ$36</f>
        <v>1237623.2326588067</v>
      </c>
      <c r="AF7" s="139">
        <f>'Cash &amp; Assets'!$AQ$37</f>
        <v>1245145.8526986679</v>
      </c>
    </row>
    <row r="8" spans="1:32" ht="13.8">
      <c r="B8" s="72" t="s">
        <v>673</v>
      </c>
      <c r="C8" s="137">
        <f>'Cash &amp; Assets'!$D8</f>
        <v>998200</v>
      </c>
      <c r="D8" s="137">
        <f>'Cash &amp; Assets'!$D9</f>
        <v>970278.06314848189</v>
      </c>
      <c r="E8" s="138">
        <f>'Cash &amp; Assets'!D$10</f>
        <v>941560.35109669552</v>
      </c>
      <c r="F8" s="138">
        <f>'Cash &amp; Assets'!D$11</f>
        <v>912024.18425143324</v>
      </c>
      <c r="G8" s="138">
        <f>'Cash &amp; Assets'!D$12</f>
        <v>881646.23665108089</v>
      </c>
      <c r="H8" s="138">
        <f>'Cash &amp; Assets'!D$13</f>
        <v>850402.51754411857</v>
      </c>
      <c r="I8" s="138">
        <f>'Cash &amp; Assets'!D$14</f>
        <v>818268.35244260775</v>
      </c>
      <c r="J8" s="138">
        <f>'Cash &amp; Assets'!D$15</f>
        <v>785218.36363570392</v>
      </c>
      <c r="K8" s="138">
        <f>'Cash &amp; Assets'!D$16</f>
        <v>751226.45014780329</v>
      </c>
      <c r="L8" s="138">
        <f>'Cash &amp; Assets'!D$17</f>
        <v>716265.76712549757</v>
      </c>
      <c r="M8" s="138">
        <f>'Cash &amp; Assets'!D$18</f>
        <v>680308.7046370561</v>
      </c>
      <c r="N8" s="138">
        <f>'Cash &amp; Assets'!D$19</f>
        <v>644396.17435768596</v>
      </c>
      <c r="O8" s="138">
        <f>'Cash &amp; Assets'!D$20</f>
        <v>607316.48684423626</v>
      </c>
      <c r="P8" s="138">
        <f>'Cash &amp; Assets'!D$21</f>
        <v>569031.70948659943</v>
      </c>
      <c r="Q8" s="138">
        <f>'Cash &amp; Assets'!D$22</f>
        <v>529502.67686483939</v>
      </c>
      <c r="R8" s="138">
        <f>'Cash &amp; Assets'!D$23</f>
        <v>488688.95068287221</v>
      </c>
      <c r="S8" s="138">
        <f>'Cash &amp; Assets'!D$24</f>
        <v>446548.7783999911</v>
      </c>
      <c r="T8" s="138">
        <f>'Cash &amp; Assets'!D$25</f>
        <v>403039.05051791633</v>
      </c>
      <c r="U8" s="138">
        <f>'Cash &amp; Assets'!D$26</f>
        <v>358115.25647967414</v>
      </c>
      <c r="V8" s="138">
        <f>'Cash &amp; Assets'!D$27</f>
        <v>311731.43913518905</v>
      </c>
      <c r="W8" s="138">
        <f>'Cash &amp; Assets'!D$28</f>
        <v>263840.14772700821</v>
      </c>
      <c r="X8" s="138">
        <f>'Cash &amp; Assets'!D$29</f>
        <v>214392.38934806152</v>
      </c>
      <c r="Y8" s="138">
        <f>'Cash &amp; Assets'!D$30</f>
        <v>163337.57882179905</v>
      </c>
      <c r="Z8" s="138">
        <f>'Cash &amp; Assets'!D$31</f>
        <v>110623.48695343305</v>
      </c>
      <c r="AA8" s="138">
        <f>'Cash &amp; Assets'!D$32</f>
        <v>56196.187099345159</v>
      </c>
      <c r="AB8" s="138">
        <f>'Cash &amp; Assets'!D$33</f>
        <v>0</v>
      </c>
      <c r="AC8" s="138">
        <f>'Cash &amp; Assets'!D$34</f>
        <v>0</v>
      </c>
      <c r="AD8" s="138">
        <f>'Cash &amp; Assets'!D$35</f>
        <v>0</v>
      </c>
      <c r="AE8" s="138">
        <f>'Cash &amp; Assets'!D$36</f>
        <v>0</v>
      </c>
      <c r="AF8" s="139">
        <f>'Cash &amp; Assets'!D$37</f>
        <v>0</v>
      </c>
    </row>
    <row r="9" spans="1:32" ht="13.8">
      <c r="B9" s="72" t="s">
        <v>672</v>
      </c>
      <c r="C9" s="137">
        <f>'Cash &amp; Assets'!$L8</f>
        <v>50000</v>
      </c>
      <c r="D9" s="137">
        <f>'Cash &amp; Assets'!$L9</f>
        <v>42847.180726796803</v>
      </c>
      <c r="E9" s="138">
        <f>'Cash &amp; Assets'!L$10</f>
        <v>35490.506104307322</v>
      </c>
      <c r="F9" s="138">
        <f>'Cash &amp; Assets'!L$11</f>
        <v>27924.166255076889</v>
      </c>
      <c r="G9" s="138">
        <f>'Cash &amp; Assets'!L$12</f>
        <v>20142.185720143385</v>
      </c>
      <c r="H9" s="138">
        <f>'Cash &amp; Assets'!L$13</f>
        <v>12138.418739964278</v>
      </c>
      <c r="I9" s="138">
        <f>'Cash &amp; Assets'!L$14</f>
        <v>5406.5444008500663</v>
      </c>
      <c r="J9" s="138">
        <f>'Cash &amp; Assets'!L$15</f>
        <v>0</v>
      </c>
      <c r="K9" s="138">
        <f>'Cash &amp; Assets'!L$16</f>
        <v>0</v>
      </c>
      <c r="L9" s="138">
        <f>'Cash &amp; Assets'!L$17</f>
        <v>0</v>
      </c>
      <c r="M9" s="138">
        <f>'Cash &amp; Assets'!L$18</f>
        <v>0</v>
      </c>
      <c r="N9" s="138">
        <f>'Cash &amp; Assets'!L$19</f>
        <v>0</v>
      </c>
      <c r="O9" s="138">
        <f>'Cash &amp; Assets'!L$20</f>
        <v>0</v>
      </c>
      <c r="P9" s="138">
        <f>'Cash &amp; Assets'!L$21</f>
        <v>0</v>
      </c>
      <c r="Q9" s="138">
        <f>'Cash &amp; Assets'!L$22</f>
        <v>0</v>
      </c>
      <c r="R9" s="138">
        <f>'Cash &amp; Assets'!L$23</f>
        <v>0</v>
      </c>
      <c r="S9" s="138">
        <f>'Cash &amp; Assets'!L$24</f>
        <v>0</v>
      </c>
      <c r="T9" s="138">
        <f>'Cash &amp; Assets'!L$25</f>
        <v>0</v>
      </c>
      <c r="U9" s="138">
        <f>'Cash &amp; Assets'!L$26</f>
        <v>0</v>
      </c>
      <c r="V9" s="138">
        <f>'Cash &amp; Assets'!L$27</f>
        <v>0</v>
      </c>
      <c r="W9" s="138">
        <f>'Cash &amp; Assets'!L$28</f>
        <v>0</v>
      </c>
      <c r="X9" s="138">
        <f>'Cash &amp; Assets'!L$29</f>
        <v>0</v>
      </c>
      <c r="Y9" s="138">
        <f>'Cash &amp; Assets'!L$30</f>
        <v>0</v>
      </c>
      <c r="Z9" s="138">
        <f>'Cash &amp; Assets'!L$31</f>
        <v>0</v>
      </c>
      <c r="AA9" s="138">
        <f>'Cash &amp; Assets'!L$32</f>
        <v>0</v>
      </c>
      <c r="AB9" s="138">
        <f>'Cash &amp; Assets'!L$33</f>
        <v>0</v>
      </c>
      <c r="AC9" s="138">
        <f>'Cash &amp; Assets'!L$34</f>
        <v>0</v>
      </c>
      <c r="AD9" s="138">
        <f>'Cash &amp; Assets'!L$35</f>
        <v>0</v>
      </c>
      <c r="AE9" s="138">
        <f>'Cash &amp; Assets'!L$36</f>
        <v>0</v>
      </c>
      <c r="AF9" s="139">
        <f>'Cash &amp; Assets'!L$37</f>
        <v>0</v>
      </c>
    </row>
    <row r="10" spans="1:32" ht="13.8">
      <c r="B10" s="505" t="s">
        <v>671</v>
      </c>
      <c r="C10" s="137">
        <f>C9+C8</f>
        <v>1048200</v>
      </c>
      <c r="D10" s="137">
        <f t="shared" ref="D10:AF10" si="30">D9+D8</f>
        <v>1013125.2438752787</v>
      </c>
      <c r="E10" s="137">
        <f t="shared" si="30"/>
        <v>977050.85720100289</v>
      </c>
      <c r="F10" s="137">
        <f t="shared" si="30"/>
        <v>939948.35050651012</v>
      </c>
      <c r="G10" s="137">
        <f t="shared" si="30"/>
        <v>901788.42237122427</v>
      </c>
      <c r="H10" s="137">
        <f t="shared" si="30"/>
        <v>862540.93628408283</v>
      </c>
      <c r="I10" s="137">
        <f t="shared" si="30"/>
        <v>823674.89684345783</v>
      </c>
      <c r="J10" s="137">
        <f t="shared" si="30"/>
        <v>785218.36363570392</v>
      </c>
      <c r="K10" s="137">
        <f t="shared" si="30"/>
        <v>751226.45014780329</v>
      </c>
      <c r="L10" s="137">
        <f t="shared" si="30"/>
        <v>716265.76712549757</v>
      </c>
      <c r="M10" s="137">
        <f t="shared" si="30"/>
        <v>680308.7046370561</v>
      </c>
      <c r="N10" s="137">
        <f t="shared" si="30"/>
        <v>644396.17435768596</v>
      </c>
      <c r="O10" s="137">
        <f t="shared" si="30"/>
        <v>607316.48684423626</v>
      </c>
      <c r="P10" s="137">
        <f t="shared" si="30"/>
        <v>569031.70948659943</v>
      </c>
      <c r="Q10" s="137">
        <f t="shared" si="30"/>
        <v>529502.67686483939</v>
      </c>
      <c r="R10" s="137">
        <f t="shared" si="30"/>
        <v>488688.95068287221</v>
      </c>
      <c r="S10" s="137">
        <f t="shared" si="30"/>
        <v>446548.7783999911</v>
      </c>
      <c r="T10" s="137">
        <f t="shared" si="30"/>
        <v>403039.05051791633</v>
      </c>
      <c r="U10" s="137">
        <f t="shared" si="30"/>
        <v>358115.25647967414</v>
      </c>
      <c r="V10" s="137">
        <f t="shared" si="30"/>
        <v>311731.43913518905</v>
      </c>
      <c r="W10" s="137">
        <f t="shared" si="30"/>
        <v>263840.14772700821</v>
      </c>
      <c r="X10" s="137">
        <f t="shared" si="30"/>
        <v>214392.38934806152</v>
      </c>
      <c r="Y10" s="137">
        <f t="shared" si="30"/>
        <v>163337.57882179905</v>
      </c>
      <c r="Z10" s="137">
        <f t="shared" si="30"/>
        <v>110623.48695343305</v>
      </c>
      <c r="AA10" s="137">
        <f t="shared" si="30"/>
        <v>56196.187099345159</v>
      </c>
      <c r="AB10" s="137">
        <f t="shared" si="30"/>
        <v>0</v>
      </c>
      <c r="AC10" s="137">
        <f t="shared" si="30"/>
        <v>0</v>
      </c>
      <c r="AD10" s="137">
        <f t="shared" si="30"/>
        <v>0</v>
      </c>
      <c r="AE10" s="137">
        <f t="shared" si="30"/>
        <v>0</v>
      </c>
      <c r="AF10" s="137">
        <f t="shared" si="30"/>
        <v>0</v>
      </c>
    </row>
    <row r="11" spans="1:32" ht="13.2" customHeight="1">
      <c r="B11" s="73" t="s">
        <v>322</v>
      </c>
      <c r="C11" s="137">
        <f t="shared" ref="C11:AF11" si="31">C7-C10</f>
        <v>-2000.0000000001164</v>
      </c>
      <c r="D11" s="138">
        <f t="shared" si="31"/>
        <v>39315.756124721025</v>
      </c>
      <c r="E11" s="138">
        <f t="shared" si="31"/>
        <v>81672.447798996815</v>
      </c>
      <c r="F11" s="138">
        <f t="shared" si="31"/>
        <v>125098.87201848952</v>
      </c>
      <c r="G11" s="138">
        <f t="shared" si="31"/>
        <v>169624.64027640014</v>
      </c>
      <c r="H11" s="138">
        <f t="shared" si="31"/>
        <v>215280.20172687958</v>
      </c>
      <c r="I11" s="138">
        <f t="shared" si="31"/>
        <v>260596.86700816033</v>
      </c>
      <c r="J11" s="138">
        <f t="shared" si="31"/>
        <v>305546.89438727917</v>
      </c>
      <c r="K11" s="138">
        <f t="shared" si="31"/>
        <v>346075.49087092269</v>
      </c>
      <c r="L11" s="138">
        <f t="shared" si="31"/>
        <v>387616.36887100618</v>
      </c>
      <c r="M11" s="138">
        <f t="shared" si="31"/>
        <v>430197.46416484134</v>
      </c>
      <c r="N11" s="138">
        <f t="shared" si="31"/>
        <v>472778.19363488629</v>
      </c>
      <c r="O11" s="138">
        <f t="shared" si="31"/>
        <v>516570.57801843062</v>
      </c>
      <c r="P11" s="138">
        <f t="shared" si="31"/>
        <v>561612.88398081402</v>
      </c>
      <c r="Q11" s="138">
        <f t="shared" si="31"/>
        <v>607944.61378314858</v>
      </c>
      <c r="R11" s="138">
        <f t="shared" si="31"/>
        <v>655606.54537372547</v>
      </c>
      <c r="S11" s="138">
        <f t="shared" si="31"/>
        <v>704640.77378181322</v>
      </c>
      <c r="T11" s="138">
        <f t="shared" si="31"/>
        <v>755090.75385616987</v>
      </c>
      <c r="U11" s="138">
        <f t="shared" si="31"/>
        <v>807001.34439196915</v>
      </c>
      <c r="V11" s="138">
        <f t="shared" si="31"/>
        <v>860418.85369125579</v>
      </c>
      <c r="W11" s="138">
        <f t="shared" si="31"/>
        <v>915391.08660351671</v>
      </c>
      <c r="X11" s="138">
        <f t="shared" si="31"/>
        <v>971967.39309446327</v>
      </c>
      <c r="Y11" s="138">
        <f t="shared" si="31"/>
        <v>1030198.7183926892</v>
      </c>
      <c r="Z11" s="138">
        <f t="shared" si="31"/>
        <v>1090137.654765476</v>
      </c>
      <c r="AA11" s="138">
        <f t="shared" si="31"/>
        <v>1151838.4949766903</v>
      </c>
      <c r="AB11" s="138">
        <f t="shared" si="31"/>
        <v>1215357.2874814328</v>
      </c>
      <c r="AC11" s="138">
        <f t="shared" si="31"/>
        <v>1222729.3302338072</v>
      </c>
      <c r="AD11" s="138">
        <f t="shared" si="31"/>
        <v>1230151.1857630932</v>
      </c>
      <c r="AE11" s="138">
        <f t="shared" si="31"/>
        <v>1237623.2326588067</v>
      </c>
      <c r="AF11" s="139">
        <f t="shared" si="31"/>
        <v>1245145.8526986679</v>
      </c>
    </row>
    <row r="12" spans="1:32" ht="14.4" thickBot="1">
      <c r="A12" s="65"/>
      <c r="B12" s="71" t="s">
        <v>314</v>
      </c>
      <c r="C12" s="140">
        <f>'Cash &amp; Assets'!$AS8</f>
        <v>-84920.942700294079</v>
      </c>
      <c r="D12" s="140">
        <f>'Cash &amp; Assets'!$AS9</f>
        <v>-59141.220135859679</v>
      </c>
      <c r="E12" s="140">
        <f>'Cash &amp; Assets'!$AS10</f>
        <v>-32356.906671083765</v>
      </c>
      <c r="F12" s="140">
        <f>'Cash &amp; Assets'!$AS11</f>
        <v>-4542.7581097963266</v>
      </c>
      <c r="G12" s="140">
        <f>'Cash &amp; Assets'!$AS12</f>
        <v>24327.151524713263</v>
      </c>
      <c r="H12" s="140">
        <f>'Cash &amp; Assets'!$AS13</f>
        <v>51279.448977395194</v>
      </c>
      <c r="I12" s="140">
        <f>'Cash &amp; Assets'!$AS14</f>
        <v>79273.936284935568</v>
      </c>
      <c r="J12" s="140">
        <f>'Cash &amp; Assets'!$AS15</f>
        <v>108268.45682604285</v>
      </c>
      <c r="K12" s="140">
        <f>'Cash &amp; Assets'!$AS16</f>
        <v>123881.89826725447</v>
      </c>
      <c r="L12" s="140">
        <f>'Cash &amp; Assets'!$AS17</f>
        <v>140288.35462669004</v>
      </c>
      <c r="M12" s="140">
        <f>'Cash &amp; Assets'!$AS18</f>
        <v>155928.4507433204</v>
      </c>
      <c r="N12" s="140">
        <f>'Cash &amp; Assets'!$AS19</f>
        <v>172465.58417091845</v>
      </c>
      <c r="O12" s="140">
        <f>'Cash &amp; Assets'!$AS20</f>
        <v>189924.28611410945</v>
      </c>
      <c r="P12" s="140">
        <f>'Cash &amp; Assets'!$AS21</f>
        <v>208329.83305577026</v>
      </c>
      <c r="Q12" s="140">
        <f>'Cash &amp; Assets'!$AS22</f>
        <v>227708.27036393853</v>
      </c>
      <c r="R12" s="140">
        <f>'Cash &amp; Assets'!$AS23</f>
        <v>248086.43665850302</v>
      </c>
      <c r="S12" s="140">
        <f>'Cash &amp; Assets'!$AS24</f>
        <v>269491.98896227614</v>
      </c>
      <c r="T12" s="140">
        <f>'Cash &amp; Assets'!$AS25</f>
        <v>291953.42866184399</v>
      </c>
      <c r="U12" s="140">
        <f>'Cash &amp; Assets'!$AS26</f>
        <v>315500.12830442726</v>
      </c>
      <c r="V12" s="140">
        <f>'Cash &amp; Assets'!$AS27</f>
        <v>340162.3592578196</v>
      </c>
      <c r="W12" s="140">
        <f>'Cash &amp; Assets'!$AS28</f>
        <v>365971.32026136294</v>
      </c>
      <c r="X12" s="140">
        <f>'Cash &amp; Assets'!$AS29</f>
        <v>392959.166896821</v>
      </c>
      <c r="Y12" s="140">
        <f>'Cash &amp; Assets'!$AS30</f>
        <v>421159.04200894595</v>
      </c>
      <c r="Z12" s="140">
        <f>'Cash &amp; Assets'!$AS31</f>
        <v>450605.10710650892</v>
      </c>
      <c r="AA12" s="140">
        <f>'Cash &amp; Assets'!$AS32</f>
        <v>481332.57477555471</v>
      </c>
      <c r="AB12" s="140">
        <f>'Cash &amp; Assets'!$AS33</f>
        <v>513377.7421376782</v>
      </c>
      <c r="AC12" s="140">
        <f>'Cash &amp; Assets'!$AS34</f>
        <v>545684.30007123784</v>
      </c>
      <c r="AD12" s="140">
        <f>'Cash &amp; Assets'!$AS35</f>
        <v>578255.27342147403</v>
      </c>
      <c r="AE12" s="140">
        <f>'Cash &amp; Assets'!$AS36</f>
        <v>611093.72331089946</v>
      </c>
      <c r="AF12" s="233">
        <f>'Cash &amp; Assets'!$AS37</f>
        <v>644202.74758189404</v>
      </c>
    </row>
    <row r="13" spans="1:32" ht="13.8">
      <c r="A13" s="65"/>
      <c r="B13" s="506" t="s">
        <v>315</v>
      </c>
      <c r="C13" s="151">
        <f>'Cash &amp; Assets'!$AL8</f>
        <v>17079.057299706143</v>
      </c>
      <c r="D13" s="151">
        <f>'Cash &amp; Assets'!$AL9</f>
        <v>36617.779864140466</v>
      </c>
      <c r="E13" s="151">
        <f>'Cash &amp; Assets'!$AL10</f>
        <v>57119.788328916511</v>
      </c>
      <c r="F13" s="151">
        <f>'Cash &amp; Assets'!$AL11</f>
        <v>78610.019365204033</v>
      </c>
      <c r="G13" s="151">
        <f>'Cash &amp; Assets'!$AL12</f>
        <v>101114.08887708874</v>
      </c>
      <c r="H13" s="151">
        <f>'Cash &amp; Assets'!$AL13</f>
        <v>121658.31096643271</v>
      </c>
      <c r="I13" s="151">
        <f>'Cash &amp; Assets'!$AL14</f>
        <v>143202.17243331752</v>
      </c>
      <c r="J13" s="151">
        <f>'Cash &amp; Assets'!$AL15</f>
        <v>165703.19880305976</v>
      </c>
      <c r="K13" s="151">
        <f>'Cash &amp; Assets'!$AL16</f>
        <v>174779.95724852855</v>
      </c>
      <c r="L13" s="151">
        <f>'Cash &amp; Assets'!$AL17</f>
        <v>184606.21863018619</v>
      </c>
      <c r="M13" s="151">
        <f>'Cash &amp; Assets'!$AL18</f>
        <v>193622.28194142284</v>
      </c>
      <c r="N13" s="151">
        <f>'Cash &amp; Assets'!$AL19</f>
        <v>203491.21617834616</v>
      </c>
      <c r="O13" s="151">
        <f>'Cash &amp; Assets'!$AL20</f>
        <v>214237.22125144259</v>
      </c>
      <c r="P13" s="151">
        <f>'Cash &amp; Assets'!$AL21</f>
        <v>225885.23958835687</v>
      </c>
      <c r="Q13" s="151">
        <f>'Cash &amp; Assets'!$AL22</f>
        <v>238460.97971595053</v>
      </c>
      <c r="R13" s="151">
        <f>'Cash &amp; Assets'!$AL23</f>
        <v>251990.94060190546</v>
      </c>
      <c r="S13" s="151">
        <f>'Cash &amp; Assets'!$AL24</f>
        <v>266502.43678047176</v>
      </c>
      <c r="T13" s="151">
        <f>'Cash &amp; Assets'!$AL25</f>
        <v>282023.62428775779</v>
      </c>
      <c r="U13" s="151">
        <f>'Cash &amp; Assets'!$AL26</f>
        <v>298583.52743278403</v>
      </c>
      <c r="V13" s="151">
        <f>'Cash &amp; Assets'!$AL27</f>
        <v>316212.0664313747</v>
      </c>
      <c r="W13" s="151">
        <f>'Cash &amp; Assets'!$AL28</f>
        <v>334940.08593083813</v>
      </c>
      <c r="X13" s="151">
        <f>'Cash &amp; Assets'!$AL29</f>
        <v>354799.3844542962</v>
      </c>
      <c r="Y13" s="151">
        <f>'Cash &amp; Assets'!$AL30</f>
        <v>375822.74479445769</v>
      </c>
      <c r="Z13" s="151">
        <f>'Cash &amp; Assets'!$AL31</f>
        <v>398043.96538759978</v>
      </c>
      <c r="AA13" s="151">
        <f>'Cash &amp; Assets'!$AL32</f>
        <v>421497.89269951911</v>
      </c>
      <c r="AB13" s="151">
        <f>'Cash &amp; Assets'!$AL33</f>
        <v>446220.45465624536</v>
      </c>
      <c r="AC13" s="151">
        <f>'Cash &amp; Assets'!$AL34</f>
        <v>471154.96983743069</v>
      </c>
      <c r="AD13" s="151">
        <f>'Cash &amp; Assets'!$AL35</f>
        <v>496304.0876583808</v>
      </c>
      <c r="AE13" s="151">
        <f>'Cash &amp; Assets'!$AL36</f>
        <v>521670.49065209279</v>
      </c>
      <c r="AF13" s="234">
        <f>'Cash &amp; Assets'!$AL37</f>
        <v>547256.89488322625</v>
      </c>
    </row>
    <row r="14" spans="1:32" ht="14.4" thickBot="1">
      <c r="A14" s="65"/>
      <c r="B14" s="69"/>
      <c r="C14" s="70"/>
      <c r="D14" s="70"/>
      <c r="E14" s="70"/>
      <c r="F14" s="70"/>
      <c r="G14" s="70"/>
      <c r="H14" s="70"/>
      <c r="I14" s="70"/>
      <c r="J14" s="70"/>
      <c r="K14" s="70"/>
      <c r="L14" s="70"/>
      <c r="M14" s="70"/>
      <c r="N14" s="70"/>
      <c r="O14" s="70"/>
      <c r="P14" s="70"/>
      <c r="Q14" s="70"/>
      <c r="R14" s="70"/>
      <c r="S14" s="70"/>
      <c r="T14" s="70"/>
      <c r="U14" s="70"/>
      <c r="V14" s="70"/>
      <c r="W14" s="70"/>
      <c r="X14" s="70"/>
      <c r="Y14" s="70"/>
      <c r="Z14" s="70"/>
      <c r="AA14" s="70"/>
      <c r="AB14" s="70"/>
      <c r="AC14" s="70"/>
      <c r="AD14" s="70"/>
      <c r="AE14" s="70"/>
      <c r="AF14" s="70"/>
    </row>
    <row r="15" spans="1:32" ht="18.600000000000001" thickBot="1">
      <c r="A15" s="65"/>
      <c r="B15" s="684" t="s">
        <v>169</v>
      </c>
      <c r="C15" s="66">
        <f>C3</f>
        <v>2026</v>
      </c>
      <c r="D15" s="67">
        <f>C15+1</f>
        <v>2027</v>
      </c>
      <c r="E15" s="67">
        <f t="shared" ref="E15" si="32">D15+1</f>
        <v>2028</v>
      </c>
      <c r="F15" s="67">
        <f t="shared" ref="F15" si="33">E15+1</f>
        <v>2029</v>
      </c>
      <c r="G15" s="67">
        <f t="shared" ref="G15" si="34">F15+1</f>
        <v>2030</v>
      </c>
      <c r="H15" s="67">
        <f t="shared" ref="H15" si="35">G15+1</f>
        <v>2031</v>
      </c>
      <c r="I15" s="67">
        <f t="shared" ref="I15" si="36">H15+1</f>
        <v>2032</v>
      </c>
      <c r="J15" s="67">
        <f t="shared" ref="J15" si="37">I15+1</f>
        <v>2033</v>
      </c>
      <c r="K15" s="67">
        <f t="shared" ref="K15" si="38">J15+1</f>
        <v>2034</v>
      </c>
      <c r="L15" s="67">
        <f t="shared" ref="L15" si="39">K15+1</f>
        <v>2035</v>
      </c>
      <c r="M15" s="67">
        <f t="shared" ref="M15" si="40">L15+1</f>
        <v>2036</v>
      </c>
      <c r="N15" s="67">
        <f t="shared" ref="N15" si="41">M15+1</f>
        <v>2037</v>
      </c>
      <c r="O15" s="67">
        <f t="shared" ref="O15" si="42">N15+1</f>
        <v>2038</v>
      </c>
      <c r="P15" s="67">
        <f t="shared" ref="P15" si="43">O15+1</f>
        <v>2039</v>
      </c>
      <c r="Q15" s="67">
        <f t="shared" ref="Q15" si="44">P15+1</f>
        <v>2040</v>
      </c>
      <c r="R15" s="67">
        <f t="shared" ref="R15" si="45">Q15+1</f>
        <v>2041</v>
      </c>
      <c r="S15" s="67">
        <f t="shared" ref="S15" si="46">R15+1</f>
        <v>2042</v>
      </c>
      <c r="T15" s="67">
        <f t="shared" ref="T15" si="47">S15+1</f>
        <v>2043</v>
      </c>
      <c r="U15" s="67">
        <f t="shared" ref="U15" si="48">T15+1</f>
        <v>2044</v>
      </c>
      <c r="V15" s="67">
        <f t="shared" ref="V15" si="49">U15+1</f>
        <v>2045</v>
      </c>
      <c r="W15" s="67">
        <f t="shared" ref="W15" si="50">V15+1</f>
        <v>2046</v>
      </c>
      <c r="X15" s="67">
        <f t="shared" ref="X15" si="51">W15+1</f>
        <v>2047</v>
      </c>
      <c r="Y15" s="67">
        <f t="shared" ref="Y15" si="52">X15+1</f>
        <v>2048</v>
      </c>
      <c r="Z15" s="67">
        <f t="shared" ref="Z15" si="53">Y15+1</f>
        <v>2049</v>
      </c>
      <c r="AA15" s="67">
        <f t="shared" ref="AA15" si="54">Z15+1</f>
        <v>2050</v>
      </c>
      <c r="AB15" s="67">
        <f t="shared" ref="AB15" si="55">AA15+1</f>
        <v>2051</v>
      </c>
      <c r="AC15" s="67">
        <f t="shared" ref="AC15" si="56">AB15+1</f>
        <v>2052</v>
      </c>
      <c r="AD15" s="67">
        <f t="shared" ref="AD15" si="57">AC15+1</f>
        <v>2053</v>
      </c>
      <c r="AE15" s="67">
        <f t="shared" ref="AE15" si="58">AD15+1</f>
        <v>2054</v>
      </c>
      <c r="AF15" s="76">
        <f t="shared" ref="AF15" si="59">AE15+1</f>
        <v>2055</v>
      </c>
    </row>
    <row r="16" spans="1:32" ht="13.8">
      <c r="B16" s="72" t="s">
        <v>317</v>
      </c>
      <c r="C16" s="141">
        <f>'Cash &amp; Assets'!AH$8</f>
        <v>9926.2380265029497</v>
      </c>
      <c r="D16" s="142">
        <f>'Cash &amp; Assets'!$AH$9</f>
        <v>12182.047941944835</v>
      </c>
      <c r="E16" s="142">
        <f>'Cash &amp; Assets'!AH$10</f>
        <v>12935.668615545617</v>
      </c>
      <c r="F16" s="142">
        <f>'Cash &amp; Assets'!AH$11</f>
        <v>13708.250501354018</v>
      </c>
      <c r="G16" s="142">
        <f>'Cash &amp; Assets'!AH$12</f>
        <v>14500.302531705584</v>
      </c>
      <c r="H16" s="142">
        <f>'Cash &amp; Assets'!AH$13</f>
        <v>13812.347750229765</v>
      </c>
      <c r="I16" s="142">
        <f>'Cash &amp; Assets'!AH$14</f>
        <v>14620.128709105829</v>
      </c>
      <c r="J16" s="142">
        <f>'Cash &amp; Assets'!AH$15</f>
        <v>15423.207096539061</v>
      </c>
      <c r="K16" s="142">
        <f>'Cash &amp; Assets'!AH$16</f>
        <v>9076.7584454687876</v>
      </c>
      <c r="L16" s="142">
        <f>'Cash &amp; Assets'!AH$17</f>
        <v>9826.2613816576522</v>
      </c>
      <c r="M16" s="142">
        <f>'Cash &amp; Assets'!AH$18</f>
        <v>9016.0633112366431</v>
      </c>
      <c r="N16" s="142">
        <f>'Cash &amp; Assets'!AH$19</f>
        <v>9868.9342369233345</v>
      </c>
      <c r="O16" s="142">
        <f>'Cash &amp; Assets'!AH$20</f>
        <v>10746.005073096432</v>
      </c>
      <c r="P16" s="142">
        <f>'Cash &amp; Assets'!AH$21</f>
        <v>11648.018336914265</v>
      </c>
      <c r="Q16" s="142">
        <f>'Cash &amp; Assets'!AH$22</f>
        <v>12575.740127593652</v>
      </c>
      <c r="R16" s="142">
        <f>'Cash &amp; Assets'!AH$23</f>
        <v>13529.96088595493</v>
      </c>
      <c r="S16" s="142">
        <f>'Cash &amp; Assets'!AH$24</f>
        <v>14511.496178566329</v>
      </c>
      <c r="T16" s="142">
        <f>'Cash &amp; Assets'!AH$25</f>
        <v>15521.187507286013</v>
      </c>
      <c r="U16" s="142">
        <f>'Cash &amp; Assets'!AH$26</f>
        <v>16559.903145026237</v>
      </c>
      <c r="V16" s="142">
        <f>'Cash &amp; Assets'!AH$27</f>
        <v>17628.538998590629</v>
      </c>
      <c r="W16" s="142">
        <f>'Cash &amp; Assets'!AH$28</f>
        <v>18728.019499463451</v>
      </c>
      <c r="X16" s="142">
        <f>'Cash &amp; Assets'!AH$29</f>
        <v>19859.298523458063</v>
      </c>
      <c r="Y16" s="142">
        <f>'Cash &amp; Assets'!AH$30</f>
        <v>21023.360340161475</v>
      </c>
      <c r="Z16" s="142">
        <f>'Cash &amp; Assets'!AH$31</f>
        <v>22221.220593142079</v>
      </c>
      <c r="AA16" s="142">
        <f>'Cash &amp; Assets'!AH$32</f>
        <v>23453.927311919309</v>
      </c>
      <c r="AB16" s="142">
        <f>'Cash &amp; Assets'!AH$33</f>
        <v>24722.56195672624</v>
      </c>
      <c r="AC16" s="142">
        <f>'Cash &amp; Assets'!AH$34</f>
        <v>24934.515181185317</v>
      </c>
      <c r="AD16" s="142">
        <f>'Cash &amp; Assets'!AH$35</f>
        <v>25149.117820950134</v>
      </c>
      <c r="AE16" s="142">
        <f>'Cash &amp; Assets'!AH$36</f>
        <v>25366.402993712014</v>
      </c>
      <c r="AF16" s="143">
        <f>'Cash &amp; Assets'!AH$37</f>
        <v>25586.404231133416</v>
      </c>
    </row>
    <row r="17" spans="1:32" ht="13.2" customHeight="1">
      <c r="B17" s="74" t="s">
        <v>318</v>
      </c>
      <c r="C17" s="141">
        <f>'Cash &amp; Assets'!AI$8</f>
        <v>9926.2380265029497</v>
      </c>
      <c r="D17" s="142">
        <f>'Cash &amp; Assets'!$AI$9</f>
        <v>22108.285968447784</v>
      </c>
      <c r="E17" s="142">
        <f>'Cash &amp; Assets'!AI$10</f>
        <v>35043.9545839934</v>
      </c>
      <c r="F17" s="142">
        <f>'Cash &amp; Assets'!AI$11</f>
        <v>48752.205085347421</v>
      </c>
      <c r="G17" s="142">
        <f>'Cash &amp; Assets'!AI$12</f>
        <v>63252.507617053008</v>
      </c>
      <c r="H17" s="142">
        <f>'Cash &amp; Assets'!AI$13</f>
        <v>77064.855367282769</v>
      </c>
      <c r="I17" s="142">
        <f>'Cash &amp; Assets'!AI$14</f>
        <v>91684.984076388602</v>
      </c>
      <c r="J17" s="142">
        <f>'Cash &amp; Assets'!AI$15</f>
        <v>107108.19117292766</v>
      </c>
      <c r="K17" s="142">
        <f>'Cash &amp; Assets'!AI$16</f>
        <v>116184.94961839645</v>
      </c>
      <c r="L17" s="142">
        <f>'Cash &amp; Assets'!AI$17</f>
        <v>126011.2110000541</v>
      </c>
      <c r="M17" s="142">
        <f>'Cash &amp; Assets'!AI$18</f>
        <v>135027.27431129073</v>
      </c>
      <c r="N17" s="142">
        <f>'Cash &amp; Assets'!AI$19</f>
        <v>144896.20854821405</v>
      </c>
      <c r="O17" s="142">
        <f>'Cash &amp; Assets'!AI$20</f>
        <v>155642.21362131048</v>
      </c>
      <c r="P17" s="142">
        <f>'Cash &amp; Assets'!AI$21</f>
        <v>167290.23195822476</v>
      </c>
      <c r="Q17" s="142">
        <f>'Cash &amp; Assets'!AI$22</f>
        <v>179865.97208581842</v>
      </c>
      <c r="R17" s="142">
        <f>'Cash &amp; Assets'!AI$23</f>
        <v>193395.93297177335</v>
      </c>
      <c r="S17" s="142">
        <f>'Cash &amp; Assets'!AI$24</f>
        <v>207907.42915033968</v>
      </c>
      <c r="T17" s="142">
        <f>'Cash &amp; Assets'!AI$25</f>
        <v>223428.61665762571</v>
      </c>
      <c r="U17" s="142">
        <f>'Cash &amp; Assets'!AI$26</f>
        <v>239988.51980265195</v>
      </c>
      <c r="V17" s="142">
        <f>'Cash &amp; Assets'!AI$27</f>
        <v>257617.05880124259</v>
      </c>
      <c r="W17" s="142">
        <f>'Cash &amp; Assets'!AI$28</f>
        <v>276345.07830070605</v>
      </c>
      <c r="X17" s="142">
        <f>'Cash &amp; Assets'!AI$29</f>
        <v>296204.37682416412</v>
      </c>
      <c r="Y17" s="142">
        <f>'Cash &amp; Assets'!AI$30</f>
        <v>317227.7371643256</v>
      </c>
      <c r="Z17" s="142">
        <f>'Cash &amp; Assets'!AI$31</f>
        <v>339448.9577574677</v>
      </c>
      <c r="AA17" s="142">
        <f>'Cash &amp; Assets'!AI$32</f>
        <v>362902.88506938703</v>
      </c>
      <c r="AB17" s="142">
        <f>'Cash &amp; Assets'!AI$33</f>
        <v>387625.44702611328</v>
      </c>
      <c r="AC17" s="142">
        <f>'Cash &amp; Assets'!AI$34</f>
        <v>412559.96220729861</v>
      </c>
      <c r="AD17" s="142">
        <f>'Cash &amp; Assets'!AI$35</f>
        <v>437709.08002824872</v>
      </c>
      <c r="AE17" s="142">
        <f>'Cash &amp; Assets'!AI$36</f>
        <v>463075.48302196071</v>
      </c>
      <c r="AF17" s="143">
        <f>'Cash &amp; Assets'!AI$37</f>
        <v>488661.88725309412</v>
      </c>
    </row>
    <row r="18" spans="1:32" ht="14.4" thickBot="1">
      <c r="B18" s="507" t="s">
        <v>319</v>
      </c>
      <c r="C18" s="144">
        <f>C12</f>
        <v>-84920.942700294079</v>
      </c>
      <c r="D18" s="144">
        <f t="shared" ref="D18:K18" si="60">D12</f>
        <v>-59141.220135859679</v>
      </c>
      <c r="E18" s="144">
        <f t="shared" si="60"/>
        <v>-32356.906671083765</v>
      </c>
      <c r="F18" s="144">
        <f t="shared" si="60"/>
        <v>-4542.7581097963266</v>
      </c>
      <c r="G18" s="144">
        <f t="shared" si="60"/>
        <v>24327.151524713263</v>
      </c>
      <c r="H18" s="144">
        <f t="shared" si="60"/>
        <v>51279.448977395194</v>
      </c>
      <c r="I18" s="144">
        <f t="shared" si="60"/>
        <v>79273.936284935568</v>
      </c>
      <c r="J18" s="144">
        <f t="shared" si="60"/>
        <v>108268.45682604285</v>
      </c>
      <c r="K18" s="144">
        <f t="shared" si="60"/>
        <v>123881.89826725447</v>
      </c>
      <c r="L18" s="144">
        <f>L12</f>
        <v>140288.35462669004</v>
      </c>
      <c r="M18" s="144">
        <f>M12</f>
        <v>155928.4507433204</v>
      </c>
      <c r="N18" s="144">
        <f>N12</f>
        <v>172465.58417091845</v>
      </c>
      <c r="O18" s="144">
        <f t="shared" ref="O18:AF18" si="61">O12</f>
        <v>189924.28611410945</v>
      </c>
      <c r="P18" s="144">
        <f t="shared" si="61"/>
        <v>208329.83305577026</v>
      </c>
      <c r="Q18" s="144">
        <f t="shared" si="61"/>
        <v>227708.27036393853</v>
      </c>
      <c r="R18" s="144">
        <f t="shared" si="61"/>
        <v>248086.43665850302</v>
      </c>
      <c r="S18" s="144">
        <f t="shared" si="61"/>
        <v>269491.98896227614</v>
      </c>
      <c r="T18" s="144">
        <f t="shared" si="61"/>
        <v>291953.42866184399</v>
      </c>
      <c r="U18" s="144">
        <f t="shared" si="61"/>
        <v>315500.12830442726</v>
      </c>
      <c r="V18" s="144">
        <f t="shared" si="61"/>
        <v>340162.3592578196</v>
      </c>
      <c r="W18" s="144">
        <f t="shared" si="61"/>
        <v>365971.32026136294</v>
      </c>
      <c r="X18" s="144">
        <f t="shared" si="61"/>
        <v>392959.166896821</v>
      </c>
      <c r="Y18" s="144">
        <f t="shared" si="61"/>
        <v>421159.04200894595</v>
      </c>
      <c r="Z18" s="144">
        <f t="shared" si="61"/>
        <v>450605.10710650892</v>
      </c>
      <c r="AA18" s="144">
        <f t="shared" si="61"/>
        <v>481332.57477555471</v>
      </c>
      <c r="AB18" s="144">
        <f t="shared" si="61"/>
        <v>513377.7421376782</v>
      </c>
      <c r="AC18" s="144">
        <f t="shared" si="61"/>
        <v>545684.30007123784</v>
      </c>
      <c r="AD18" s="144">
        <f t="shared" si="61"/>
        <v>578255.27342147403</v>
      </c>
      <c r="AE18" s="144">
        <f t="shared" si="61"/>
        <v>611093.72331089946</v>
      </c>
      <c r="AF18" s="144">
        <f t="shared" si="61"/>
        <v>644202.74758189404</v>
      </c>
    </row>
    <row r="19" spans="1:32" ht="14.4" thickBot="1">
      <c r="A19" s="65"/>
      <c r="B19" s="69"/>
      <c r="C19" s="70"/>
      <c r="D19" s="70"/>
      <c r="E19" s="70"/>
      <c r="F19" s="70"/>
      <c r="G19" s="70"/>
      <c r="H19" s="70"/>
      <c r="I19" s="70"/>
      <c r="J19" s="70"/>
      <c r="K19" s="70"/>
      <c r="L19" s="70"/>
      <c r="M19" s="70"/>
      <c r="N19" s="70"/>
      <c r="O19" s="70"/>
      <c r="P19" s="70"/>
      <c r="Q19" s="70"/>
      <c r="R19" s="70"/>
      <c r="S19" s="70"/>
      <c r="T19" s="70"/>
      <c r="U19" s="70"/>
      <c r="V19" s="70"/>
      <c r="W19" s="70"/>
      <c r="X19" s="70"/>
      <c r="Y19" s="70"/>
      <c r="Z19" s="70"/>
      <c r="AA19" s="70"/>
      <c r="AB19" s="70"/>
      <c r="AC19" s="70"/>
      <c r="AD19" s="70"/>
      <c r="AE19" s="70"/>
      <c r="AF19" s="70"/>
    </row>
    <row r="20" spans="1:32" ht="18.600000000000001" thickBot="1">
      <c r="A20" s="65"/>
      <c r="B20" s="684" t="s">
        <v>164</v>
      </c>
      <c r="C20" s="516">
        <f t="shared" ref="C20:AF20" si="62">C$6</f>
        <v>2026</v>
      </c>
      <c r="D20" s="517">
        <f t="shared" si="62"/>
        <v>2027</v>
      </c>
      <c r="E20" s="517">
        <f t="shared" si="62"/>
        <v>2028</v>
      </c>
      <c r="F20" s="517">
        <f t="shared" si="62"/>
        <v>2029</v>
      </c>
      <c r="G20" s="517">
        <f t="shared" si="62"/>
        <v>2030</v>
      </c>
      <c r="H20" s="517">
        <f t="shared" si="62"/>
        <v>2031</v>
      </c>
      <c r="I20" s="517">
        <f t="shared" si="62"/>
        <v>2032</v>
      </c>
      <c r="J20" s="517">
        <f t="shared" si="62"/>
        <v>2033</v>
      </c>
      <c r="K20" s="517">
        <f t="shared" si="62"/>
        <v>2034</v>
      </c>
      <c r="L20" s="517">
        <f t="shared" si="62"/>
        <v>2035</v>
      </c>
      <c r="M20" s="517">
        <f t="shared" si="62"/>
        <v>2036</v>
      </c>
      <c r="N20" s="517">
        <f t="shared" si="62"/>
        <v>2037</v>
      </c>
      <c r="O20" s="517">
        <f t="shared" si="62"/>
        <v>2038</v>
      </c>
      <c r="P20" s="517">
        <f t="shared" si="62"/>
        <v>2039</v>
      </c>
      <c r="Q20" s="517">
        <f t="shared" si="62"/>
        <v>2040</v>
      </c>
      <c r="R20" s="517">
        <f t="shared" si="62"/>
        <v>2041</v>
      </c>
      <c r="S20" s="517">
        <f t="shared" si="62"/>
        <v>2042</v>
      </c>
      <c r="T20" s="517">
        <f t="shared" si="62"/>
        <v>2043</v>
      </c>
      <c r="U20" s="517">
        <f t="shared" si="62"/>
        <v>2044</v>
      </c>
      <c r="V20" s="517">
        <f t="shared" si="62"/>
        <v>2045</v>
      </c>
      <c r="W20" s="517">
        <f t="shared" si="62"/>
        <v>2046</v>
      </c>
      <c r="X20" s="517">
        <f t="shared" si="62"/>
        <v>2047</v>
      </c>
      <c r="Y20" s="517">
        <f t="shared" si="62"/>
        <v>2048</v>
      </c>
      <c r="Z20" s="517">
        <f t="shared" si="62"/>
        <v>2049</v>
      </c>
      <c r="AA20" s="517">
        <f t="shared" si="62"/>
        <v>2050</v>
      </c>
      <c r="AB20" s="517">
        <f t="shared" si="62"/>
        <v>2051</v>
      </c>
      <c r="AC20" s="517">
        <f t="shared" si="62"/>
        <v>2052</v>
      </c>
      <c r="AD20" s="517">
        <f t="shared" si="62"/>
        <v>2053</v>
      </c>
      <c r="AE20" s="517">
        <f t="shared" si="62"/>
        <v>2054</v>
      </c>
      <c r="AF20" s="518">
        <f t="shared" si="62"/>
        <v>2055</v>
      </c>
    </row>
    <row r="21" spans="1:32" ht="13.8">
      <c r="A21" s="65"/>
      <c r="B21" s="72" t="s">
        <v>161</v>
      </c>
      <c r="C21" s="141">
        <f>C10</f>
        <v>1048200</v>
      </c>
      <c r="D21" s="141">
        <f t="shared" ref="D21:AF21" si="63">D10</f>
        <v>1013125.2438752787</v>
      </c>
      <c r="E21" s="141">
        <f t="shared" si="63"/>
        <v>977050.85720100289</v>
      </c>
      <c r="F21" s="141">
        <f t="shared" si="63"/>
        <v>939948.35050651012</v>
      </c>
      <c r="G21" s="141">
        <f t="shared" si="63"/>
        <v>901788.42237122427</v>
      </c>
      <c r="H21" s="141">
        <f t="shared" si="63"/>
        <v>862540.93628408283</v>
      </c>
      <c r="I21" s="141">
        <f t="shared" si="63"/>
        <v>823674.89684345783</v>
      </c>
      <c r="J21" s="141">
        <f t="shared" si="63"/>
        <v>785218.36363570392</v>
      </c>
      <c r="K21" s="141">
        <f t="shared" si="63"/>
        <v>751226.45014780329</v>
      </c>
      <c r="L21" s="141">
        <f t="shared" si="63"/>
        <v>716265.76712549757</v>
      </c>
      <c r="M21" s="141">
        <f t="shared" si="63"/>
        <v>680308.7046370561</v>
      </c>
      <c r="N21" s="141">
        <f t="shared" si="63"/>
        <v>644396.17435768596</v>
      </c>
      <c r="O21" s="141">
        <f t="shared" si="63"/>
        <v>607316.48684423626</v>
      </c>
      <c r="P21" s="141">
        <f t="shared" si="63"/>
        <v>569031.70948659943</v>
      </c>
      <c r="Q21" s="141">
        <f t="shared" si="63"/>
        <v>529502.67686483939</v>
      </c>
      <c r="R21" s="141">
        <f t="shared" si="63"/>
        <v>488688.95068287221</v>
      </c>
      <c r="S21" s="141">
        <f t="shared" si="63"/>
        <v>446548.7783999911</v>
      </c>
      <c r="T21" s="141">
        <f t="shared" si="63"/>
        <v>403039.05051791633</v>
      </c>
      <c r="U21" s="141">
        <f t="shared" si="63"/>
        <v>358115.25647967414</v>
      </c>
      <c r="V21" s="141">
        <f t="shared" si="63"/>
        <v>311731.43913518905</v>
      </c>
      <c r="W21" s="141">
        <f t="shared" si="63"/>
        <v>263840.14772700821</v>
      </c>
      <c r="X21" s="141">
        <f t="shared" si="63"/>
        <v>214392.38934806152</v>
      </c>
      <c r="Y21" s="141">
        <f t="shared" si="63"/>
        <v>163337.57882179905</v>
      </c>
      <c r="Z21" s="141">
        <f t="shared" si="63"/>
        <v>110623.48695343305</v>
      </c>
      <c r="AA21" s="141">
        <f t="shared" si="63"/>
        <v>56196.187099345159</v>
      </c>
      <c r="AB21" s="141">
        <f t="shared" si="63"/>
        <v>0</v>
      </c>
      <c r="AC21" s="141">
        <f t="shared" si="63"/>
        <v>0</v>
      </c>
      <c r="AD21" s="141">
        <f t="shared" si="63"/>
        <v>0</v>
      </c>
      <c r="AE21" s="141">
        <f t="shared" si="63"/>
        <v>0</v>
      </c>
      <c r="AF21" s="519">
        <f t="shared" si="63"/>
        <v>0</v>
      </c>
    </row>
    <row r="22" spans="1:32" ht="13.8">
      <c r="A22" s="65"/>
      <c r="B22" s="73" t="s">
        <v>162</v>
      </c>
      <c r="C22" s="141">
        <f>'Cash &amp; Assets'!S$8</f>
        <v>35074.756124721353</v>
      </c>
      <c r="D22" s="142">
        <f>'Cash &amp; Assets'!$S$9</f>
        <v>36074.386674275913</v>
      </c>
      <c r="E22" s="142">
        <f>'Cash &amp; Assets'!S$10</f>
        <v>37102.506694492775</v>
      </c>
      <c r="F22" s="142">
        <f>'Cash &amp; Assets'!S$11</f>
        <v>38159.928135285816</v>
      </c>
      <c r="G22" s="142">
        <f>'Cash &amp; Assets'!S$12</f>
        <v>39247.486087141464</v>
      </c>
      <c r="H22" s="142">
        <f>'Cash &amp; Assets'!S$13</f>
        <v>38866.039440624991</v>
      </c>
      <c r="I22" s="142">
        <f>'Cash &amp; Assets'!S$14</f>
        <v>39973.721564682812</v>
      </c>
      <c r="J22" s="142">
        <f>'Cash &amp; Assets'!S$15</f>
        <v>41069.732761103798</v>
      </c>
      <c r="K22" s="142">
        <f>'Cash &amp; Assets'!S$16</f>
        <v>34960.683022305762</v>
      </c>
      <c r="L22" s="142">
        <f>'Cash &amp; Assets'!S$17</f>
        <v>35957.062488441479</v>
      </c>
      <c r="M22" s="142">
        <f>'Cash &amp; Assets'!Q18</f>
        <v>0</v>
      </c>
      <c r="N22" s="142">
        <f>'Cash &amp; Assets'!S$19</f>
        <v>37079.687513449673</v>
      </c>
      <c r="O22" s="142">
        <f>'Cash &amp; Assets'!S$20</f>
        <v>38284.777357636791</v>
      </c>
      <c r="P22" s="142">
        <f>'Cash &amp; Assets'!S$21</f>
        <v>39529.03262175998</v>
      </c>
      <c r="Q22" s="142">
        <f>'Cash &amp; Assets'!S$22</f>
        <v>40813.726181967184</v>
      </c>
      <c r="R22" s="142">
        <f>'Cash &amp; Assets'!S$23</f>
        <v>42140.172282881118</v>
      </c>
      <c r="S22" s="142">
        <f>'Cash &amp; Assets'!S$24</f>
        <v>43509.72788207476</v>
      </c>
      <c r="T22" s="142">
        <f>'Cash &amp; Assets'!S$25</f>
        <v>44923.794038242188</v>
      </c>
      <c r="U22" s="142">
        <f>'Cash &amp; Assets'!S$26</f>
        <v>46383.817344485054</v>
      </c>
      <c r="V22" s="142">
        <f>'Cash &amp; Assets'!S$27</f>
        <v>47891.291408180827</v>
      </c>
      <c r="W22" s="142">
        <f>'Cash &amp; Assets'!S$28</f>
        <v>49447.758378946703</v>
      </c>
      <c r="X22" s="142">
        <f>'Cash &amp; Assets'!S$29</f>
        <v>51054.810526262467</v>
      </c>
      <c r="Y22" s="142">
        <f>'Cash &amp; Assets'!S$30</f>
        <v>52714.091868365998</v>
      </c>
      <c r="Z22" s="142">
        <f>'Cash &amp; Assets'!S$31</f>
        <v>54427.299854087891</v>
      </c>
      <c r="AA22" s="142">
        <f>'Cash &amp; Assets'!S$32</f>
        <v>56196.187099345749</v>
      </c>
      <c r="AB22" s="142">
        <f>'Cash &amp; Assets'!S$33</f>
        <v>0</v>
      </c>
      <c r="AC22" s="142">
        <f>'Cash &amp; Assets'!S$34</f>
        <v>0</v>
      </c>
      <c r="AD22" s="142">
        <f>'Cash &amp; Assets'!S$35</f>
        <v>0</v>
      </c>
      <c r="AE22" s="142">
        <f>'Cash &amp; Assets'!S$36</f>
        <v>0</v>
      </c>
      <c r="AF22" s="520">
        <f>'Cash &amp; Assets'!S$37</f>
        <v>0</v>
      </c>
    </row>
    <row r="23" spans="1:32" ht="14.4" thickBot="1">
      <c r="A23" s="65"/>
      <c r="B23" s="75" t="s">
        <v>163</v>
      </c>
      <c r="C23" s="144">
        <f>C22</f>
        <v>35074.756124721353</v>
      </c>
      <c r="D23" s="145">
        <f>D22+C23</f>
        <v>71149.142798997258</v>
      </c>
      <c r="E23" s="145">
        <f t="shared" ref="E23:AF23" si="64">E22+D23</f>
        <v>108251.64949349003</v>
      </c>
      <c r="F23" s="145">
        <f t="shared" si="64"/>
        <v>146411.57762877585</v>
      </c>
      <c r="G23" s="145">
        <f t="shared" si="64"/>
        <v>185659.06371591732</v>
      </c>
      <c r="H23" s="145">
        <f t="shared" si="64"/>
        <v>224525.10315654232</v>
      </c>
      <c r="I23" s="145">
        <f t="shared" si="64"/>
        <v>264498.82472122513</v>
      </c>
      <c r="J23" s="145">
        <f t="shared" si="64"/>
        <v>305568.55748232891</v>
      </c>
      <c r="K23" s="145">
        <f t="shared" si="64"/>
        <v>340529.24050463468</v>
      </c>
      <c r="L23" s="145">
        <f t="shared" si="64"/>
        <v>376486.30299307615</v>
      </c>
      <c r="M23" s="145">
        <f t="shared" si="64"/>
        <v>376486.30299307615</v>
      </c>
      <c r="N23" s="145">
        <f t="shared" si="64"/>
        <v>413565.99050652585</v>
      </c>
      <c r="O23" s="145">
        <f t="shared" si="64"/>
        <v>451850.76786416263</v>
      </c>
      <c r="P23" s="145">
        <f t="shared" si="64"/>
        <v>491379.80048592261</v>
      </c>
      <c r="Q23" s="145">
        <f t="shared" si="64"/>
        <v>532193.52666788979</v>
      </c>
      <c r="R23" s="145">
        <f t="shared" si="64"/>
        <v>574333.69895077089</v>
      </c>
      <c r="S23" s="145">
        <f t="shared" si="64"/>
        <v>617843.42683284567</v>
      </c>
      <c r="T23" s="145">
        <f t="shared" si="64"/>
        <v>662767.22087108786</v>
      </c>
      <c r="U23" s="145">
        <f t="shared" si="64"/>
        <v>709151.03821557295</v>
      </c>
      <c r="V23" s="145">
        <f t="shared" si="64"/>
        <v>757042.32962375379</v>
      </c>
      <c r="W23" s="145">
        <f t="shared" si="64"/>
        <v>806490.08800270048</v>
      </c>
      <c r="X23" s="145">
        <f t="shared" si="64"/>
        <v>857544.89852896298</v>
      </c>
      <c r="Y23" s="145">
        <f t="shared" si="64"/>
        <v>910258.99039732898</v>
      </c>
      <c r="Z23" s="145">
        <f t="shared" si="64"/>
        <v>964686.29025141685</v>
      </c>
      <c r="AA23" s="145">
        <f t="shared" si="64"/>
        <v>1020882.4773507626</v>
      </c>
      <c r="AB23" s="145">
        <f t="shared" si="64"/>
        <v>1020882.4773507626</v>
      </c>
      <c r="AC23" s="145">
        <f t="shared" si="64"/>
        <v>1020882.4773507626</v>
      </c>
      <c r="AD23" s="145">
        <f t="shared" si="64"/>
        <v>1020882.4773507626</v>
      </c>
      <c r="AE23" s="145">
        <f t="shared" si="64"/>
        <v>1020882.4773507626</v>
      </c>
      <c r="AF23" s="521">
        <f t="shared" si="64"/>
        <v>1020882.4773507626</v>
      </c>
    </row>
    <row r="24" spans="1:32" ht="13.8">
      <c r="A24" s="65"/>
      <c r="B24" s="73" t="s">
        <v>160</v>
      </c>
      <c r="C24" s="141">
        <f>D21</f>
        <v>1013125.2438752787</v>
      </c>
      <c r="D24" s="141">
        <f t="shared" ref="D24:AF24" si="65">E21</f>
        <v>977050.85720100289</v>
      </c>
      <c r="E24" s="141">
        <f t="shared" si="65"/>
        <v>939948.35050651012</v>
      </c>
      <c r="F24" s="141">
        <f t="shared" si="65"/>
        <v>901788.42237122427</v>
      </c>
      <c r="G24" s="141">
        <f t="shared" si="65"/>
        <v>862540.93628408283</v>
      </c>
      <c r="H24" s="141">
        <f t="shared" si="65"/>
        <v>823674.89684345783</v>
      </c>
      <c r="I24" s="141">
        <f t="shared" si="65"/>
        <v>785218.36363570392</v>
      </c>
      <c r="J24" s="141">
        <f t="shared" si="65"/>
        <v>751226.45014780329</v>
      </c>
      <c r="K24" s="141">
        <f t="shared" si="65"/>
        <v>716265.76712549757</v>
      </c>
      <c r="L24" s="141">
        <f t="shared" si="65"/>
        <v>680308.7046370561</v>
      </c>
      <c r="M24" s="141">
        <f t="shared" si="65"/>
        <v>644396.17435768596</v>
      </c>
      <c r="N24" s="141">
        <f t="shared" si="65"/>
        <v>607316.48684423626</v>
      </c>
      <c r="O24" s="141">
        <f t="shared" si="65"/>
        <v>569031.70948659943</v>
      </c>
      <c r="P24" s="141">
        <f t="shared" si="65"/>
        <v>529502.67686483939</v>
      </c>
      <c r="Q24" s="141">
        <f t="shared" si="65"/>
        <v>488688.95068287221</v>
      </c>
      <c r="R24" s="141">
        <f t="shared" si="65"/>
        <v>446548.7783999911</v>
      </c>
      <c r="S24" s="141">
        <f t="shared" si="65"/>
        <v>403039.05051791633</v>
      </c>
      <c r="T24" s="141">
        <f t="shared" si="65"/>
        <v>358115.25647967414</v>
      </c>
      <c r="U24" s="141">
        <f t="shared" si="65"/>
        <v>311731.43913518905</v>
      </c>
      <c r="V24" s="141">
        <f t="shared" si="65"/>
        <v>263840.14772700821</v>
      </c>
      <c r="W24" s="141">
        <f t="shared" si="65"/>
        <v>214392.38934806152</v>
      </c>
      <c r="X24" s="141">
        <f t="shared" si="65"/>
        <v>163337.57882179905</v>
      </c>
      <c r="Y24" s="141">
        <f t="shared" si="65"/>
        <v>110623.48695343305</v>
      </c>
      <c r="Z24" s="141">
        <f t="shared" si="65"/>
        <v>56196.187099345159</v>
      </c>
      <c r="AA24" s="141">
        <f t="shared" si="65"/>
        <v>0</v>
      </c>
      <c r="AB24" s="141">
        <f t="shared" si="65"/>
        <v>0</v>
      </c>
      <c r="AC24" s="141">
        <f t="shared" si="65"/>
        <v>0</v>
      </c>
      <c r="AD24" s="141">
        <f t="shared" si="65"/>
        <v>0</v>
      </c>
      <c r="AE24" s="141">
        <f t="shared" si="65"/>
        <v>0</v>
      </c>
      <c r="AF24" s="519">
        <f t="shared" si="65"/>
        <v>0</v>
      </c>
    </row>
    <row r="25" spans="1:32" ht="13.8">
      <c r="A25" s="65"/>
      <c r="B25" s="73" t="s">
        <v>170</v>
      </c>
      <c r="C25" s="141">
        <f>'Cash &amp; Assets'!G$8+'Cash &amp; Assets'!O$8</f>
        <v>-29873.7</v>
      </c>
      <c r="D25" s="142">
        <f>'Cash &amp; Assets'!$G$9+'Cash &amp; Assets'!O$9</f>
        <v>-28874.069450445444</v>
      </c>
      <c r="E25" s="142">
        <f>'Cash &amp; Assets'!G$10+'Cash &amp; Assets'!O$10</f>
        <v>-27845.949430228582</v>
      </c>
      <c r="F25" s="142">
        <f>'Cash &amp; Assets'!G$11+'Cash &amp; Assets'!O$11</f>
        <v>-26788.527989435541</v>
      </c>
      <c r="G25" s="142">
        <f>'Cash &amp; Assets'!G$12+'Cash &amp; Assets'!O$12</f>
        <v>-25700.970037579893</v>
      </c>
      <c r="H25" s="142">
        <f>'Cash &amp; Assets'!G$13+'Cash &amp; Assets'!O$13</f>
        <v>-24582.416684096359</v>
      </c>
      <c r="I25" s="142">
        <f>'Cash &amp; Assets'!G$14+'Cash &amp; Assets'!O$14</f>
        <v>-23474.734560038549</v>
      </c>
      <c r="J25" s="142">
        <f>'Cash &amp; Assets'!G$15+'Cash &amp; Assets'!O$15</f>
        <v>-22378.723363617562</v>
      </c>
      <c r="K25" s="142">
        <f>'Cash &amp; Assets'!G$16+'Cash &amp; Assets'!O$16</f>
        <v>-21409.953829212394</v>
      </c>
      <c r="L25" s="142">
        <f>'Cash &amp; Assets'!G$17+'Cash &amp; Assets'!O$17</f>
        <v>-20413.574363076681</v>
      </c>
      <c r="M25" s="142">
        <f>'Cash &amp; Assets'!G$18+'Cash &amp; Assets'!O$18</f>
        <v>-22110.032900704326</v>
      </c>
      <c r="N25" s="142">
        <f>'Cash &amp; Assets'!G$19+'Cash &amp; Assets'!O$19</f>
        <v>-20942.875666624794</v>
      </c>
      <c r="O25" s="142">
        <f>'Cash &amp; Assets'!G$20+'Cash &amp; Assets'!O$20</f>
        <v>-19737.78582243768</v>
      </c>
      <c r="P25" s="142">
        <f>'Cash &amp; Assets'!G$21+'Cash &amp; Assets'!O$21</f>
        <v>-18493.530558314484</v>
      </c>
      <c r="Q25" s="142">
        <f>'Cash &amp; Assets'!G$22+'Cash &amp; Assets'!O$22</f>
        <v>-17208.836998107279</v>
      </c>
      <c r="R25" s="142">
        <f>'Cash &amp; Assets'!G$23+'Cash &amp; Assets'!O$23</f>
        <v>-15882.390897193347</v>
      </c>
      <c r="S25" s="142">
        <f>'Cash &amp; Assets'!G$24+'Cash &amp; Assets'!O$24</f>
        <v>-14512.835297999711</v>
      </c>
      <c r="T25" s="142">
        <f>'Cash &amp; Assets'!G$25+'Cash &amp; Assets'!O$25</f>
        <v>-13098.769141832281</v>
      </c>
      <c r="U25" s="142">
        <f>'Cash &amp; Assets'!G$26+'Cash &amp; Assets'!O$26</f>
        <v>-11638.74583558941</v>
      </c>
      <c r="V25" s="142">
        <f>'Cash &amp; Assets'!G$27+'Cash &amp; Assets'!O$27</f>
        <v>-10131.271771893644</v>
      </c>
      <c r="W25" s="142">
        <f>'Cash &amp; Assets'!G$28+'Cash &amp; Assets'!O$28</f>
        <v>-8574.8048011277679</v>
      </c>
      <c r="X25" s="142">
        <f>'Cash &amp; Assets'!G$29+'Cash &amp; Assets'!O$29</f>
        <v>-6967.7526538120001</v>
      </c>
      <c r="Y25" s="142">
        <f>'Cash &amp; Assets'!G$30+'Cash &amp; Assets'!O$30</f>
        <v>-5308.4713117084693</v>
      </c>
      <c r="Z25" s="142">
        <f>'Cash &amp; Assets'!G$31+'Cash &amp; Assets'!O$31</f>
        <v>-3595.2633259865743</v>
      </c>
      <c r="AA25" s="142">
        <f>'Cash &amp; Assets'!G$32+'Cash &amp; Assets'!O$32</f>
        <v>-1826.3760807287179</v>
      </c>
      <c r="AB25" s="142">
        <f>'Cash &amp; Assets'!G$33+'Cash &amp; Assets'!O$33</f>
        <v>0</v>
      </c>
      <c r="AC25" s="142">
        <f>'Cash &amp; Assets'!G$34+'Cash &amp; Assets'!O$34</f>
        <v>0</v>
      </c>
      <c r="AD25" s="142">
        <f>'Cash &amp; Assets'!G$35+'Cash &amp; Assets'!O$35</f>
        <v>0</v>
      </c>
      <c r="AE25" s="142">
        <f>'Cash &amp; Assets'!G$36+'Cash &amp; Assets'!O$36</f>
        <v>0</v>
      </c>
      <c r="AF25" s="520">
        <f>'Cash &amp; Assets'!G$37+'Cash &amp; Assets'!O$37</f>
        <v>0</v>
      </c>
    </row>
    <row r="26" spans="1:32" ht="14.4" thickBot="1">
      <c r="A26" s="65"/>
      <c r="B26" s="71" t="s">
        <v>165</v>
      </c>
      <c r="C26" s="522">
        <f>'Cash &amp; Assets'!F$8+'Cash &amp; Assets'!N$8</f>
        <v>-63448.456124721357</v>
      </c>
      <c r="D26" s="523">
        <f>'Cash &amp; Assets'!$F$9+'Cash &amp; Assets'!N$9</f>
        <v>-63448.456124721357</v>
      </c>
      <c r="E26" s="523">
        <f>'Cash &amp; Assets'!F$10+'Cash &amp; Assets'!N$10</f>
        <v>-63448.456124721357</v>
      </c>
      <c r="F26" s="523">
        <f>'Cash &amp; Assets'!F$11+'Cash &amp; Assets'!N$11</f>
        <v>-63448.456124721357</v>
      </c>
      <c r="G26" s="523">
        <f>'Cash &amp; Assets'!F$12+'Cash &amp; Assets'!N$12</f>
        <v>-63448.456124721357</v>
      </c>
      <c r="H26" s="523">
        <f>'Cash &amp; Assets'!F$13+'Cash &amp; Assets'!N$13</f>
        <v>-63448.456124721357</v>
      </c>
      <c r="I26" s="523">
        <f>'Cash &amp; Assets'!F$14+'Cash &amp; Assets'!N$14</f>
        <v>-63448.456124721357</v>
      </c>
      <c r="J26" s="523">
        <f>'Cash &amp; Assets'!F$15+'Cash &amp; Assets'!N$15</f>
        <v>-63448.456124721357</v>
      </c>
      <c r="K26" s="523">
        <f>'Cash &amp; Assets'!F$16+'Cash &amp; Assets'!N$16</f>
        <v>-56370.63685151816</v>
      </c>
      <c r="L26" s="523">
        <f>'Cash &amp; Assets'!F$17+'Cash &amp; Assets'!N$17</f>
        <v>-56370.63685151816</v>
      </c>
      <c r="M26" s="523">
        <f>'Cash &amp; Assets'!F$18+'Cash &amp; Assets'!N$18</f>
        <v>-58022.563180074467</v>
      </c>
      <c r="N26" s="523">
        <f>'Cash &amp; Assets'!F$19+'Cash &amp; Assets'!N$19</f>
        <v>-58022.563180074467</v>
      </c>
      <c r="O26" s="523">
        <f>'Cash &amp; Assets'!F$20+'Cash &amp; Assets'!N$20</f>
        <v>-58022.563180074467</v>
      </c>
      <c r="P26" s="523">
        <f>'Cash &amp; Assets'!F$21+'Cash &amp; Assets'!N$21</f>
        <v>-58022.563180074467</v>
      </c>
      <c r="Q26" s="523">
        <f>'Cash &amp; Assets'!F$22+'Cash &amp; Assets'!N$22</f>
        <v>-58022.563180074467</v>
      </c>
      <c r="R26" s="523">
        <f>'Cash &amp; Assets'!F$23+'Cash &amp; Assets'!N$23</f>
        <v>-58022.563180074467</v>
      </c>
      <c r="S26" s="523">
        <f>'Cash &amp; Assets'!F$24+'Cash &amp; Assets'!N$24</f>
        <v>-58022.563180074467</v>
      </c>
      <c r="T26" s="523">
        <f>'Cash &amp; Assets'!F$25+'Cash &amp; Assets'!N$25</f>
        <v>-58022.563180074467</v>
      </c>
      <c r="U26" s="523">
        <f>'Cash &amp; Assets'!F$26+'Cash &amp; Assets'!N$26</f>
        <v>-58022.563180074467</v>
      </c>
      <c r="V26" s="523">
        <f>'Cash &amp; Assets'!F$27+'Cash &amp; Assets'!N$27</f>
        <v>-58022.563180074467</v>
      </c>
      <c r="W26" s="523">
        <f>'Cash &amp; Assets'!F$28+'Cash &amp; Assets'!N$28</f>
        <v>-58022.563180074467</v>
      </c>
      <c r="X26" s="523">
        <f>'Cash &amp; Assets'!F$29+'Cash &amp; Assets'!N$29</f>
        <v>-58022.563180074467</v>
      </c>
      <c r="Y26" s="523">
        <f>'Cash &amp; Assets'!F$30+'Cash &amp; Assets'!N$30</f>
        <v>-58022.563180074467</v>
      </c>
      <c r="Z26" s="523">
        <f>'Cash &amp; Assets'!F$31+'Cash &amp; Assets'!N$31</f>
        <v>-58022.563180074467</v>
      </c>
      <c r="AA26" s="523">
        <f>'Cash &amp; Assets'!F$32+'Cash &amp; Assets'!N$32</f>
        <v>-58022.563180074467</v>
      </c>
      <c r="AB26" s="523">
        <f>'Cash &amp; Assets'!F$33+'Cash &amp; Assets'!N$33</f>
        <v>0</v>
      </c>
      <c r="AC26" s="523">
        <f>'Cash &amp; Assets'!F$34+'Cash &amp; Assets'!N$34</f>
        <v>0</v>
      </c>
      <c r="AD26" s="523">
        <f>'Cash &amp; Assets'!F$35+'Cash &amp; Assets'!N$35</f>
        <v>0</v>
      </c>
      <c r="AE26" s="523">
        <f>'Cash &amp; Assets'!F$36+'Cash &amp; Assets'!N$36</f>
        <v>0</v>
      </c>
      <c r="AF26" s="524">
        <f>'Cash &amp; Assets'!F$37+'Cash &amp; Assets'!N$37</f>
        <v>0</v>
      </c>
    </row>
    <row r="27" spans="1:32">
      <c r="A27" s="65"/>
      <c r="B27" s="65"/>
      <c r="C27" s="65"/>
      <c r="D27" s="65"/>
      <c r="E27" s="65"/>
      <c r="F27" s="65"/>
      <c r="G27" s="65"/>
      <c r="H27" s="65"/>
      <c r="I27" s="65"/>
      <c r="J27" s="65"/>
      <c r="K27" s="65"/>
      <c r="L27" s="65"/>
      <c r="M27" s="65"/>
      <c r="N27" s="65"/>
      <c r="O27" s="65"/>
      <c r="P27" s="65"/>
      <c r="Q27" s="65"/>
      <c r="R27" s="65"/>
      <c r="S27" s="65"/>
      <c r="T27" s="65"/>
      <c r="U27" s="65"/>
      <c r="V27" s="65"/>
      <c r="W27" s="65"/>
      <c r="X27" s="65"/>
      <c r="Y27" s="65"/>
      <c r="Z27" s="65"/>
      <c r="AA27" s="65"/>
      <c r="AB27" s="65"/>
      <c r="AC27" s="65"/>
      <c r="AD27" s="65"/>
      <c r="AE27" s="65"/>
      <c r="AF27" s="65"/>
    </row>
    <row r="28" spans="1:32" ht="15" thickBot="1">
      <c r="A28" s="65"/>
      <c r="B28" s="65"/>
      <c r="C28" s="68"/>
      <c r="D28" s="68"/>
      <c r="E28" s="68"/>
      <c r="F28" s="68"/>
      <c r="G28" s="68"/>
      <c r="H28" s="68"/>
      <c r="I28" s="68"/>
      <c r="J28" s="68"/>
      <c r="K28" s="68"/>
      <c r="L28" s="68"/>
      <c r="M28" s="68"/>
      <c r="N28" s="68"/>
      <c r="O28" s="68"/>
      <c r="P28" s="68"/>
      <c r="Q28" s="68"/>
      <c r="R28" s="68"/>
      <c r="S28" s="68"/>
      <c r="T28" s="68"/>
      <c r="U28" s="68"/>
      <c r="V28" s="68"/>
      <c r="W28" s="68"/>
      <c r="X28" s="68"/>
      <c r="Y28" s="68"/>
      <c r="Z28" s="68"/>
      <c r="AA28" s="68"/>
      <c r="AB28" s="68"/>
      <c r="AC28" s="68"/>
      <c r="AD28" s="68"/>
      <c r="AE28" s="68"/>
      <c r="AF28" s="68"/>
    </row>
    <row r="29" spans="1:32" ht="15" thickTop="1">
      <c r="A29" s="65"/>
      <c r="B29" s="22" t="s">
        <v>168</v>
      </c>
      <c r="C29" s="65"/>
      <c r="D29" s="65"/>
      <c r="E29" s="65"/>
      <c r="F29" s="65"/>
      <c r="G29" s="65"/>
      <c r="H29" s="65"/>
      <c r="I29" s="65"/>
      <c r="J29" s="65"/>
      <c r="K29" s="65"/>
      <c r="L29" s="678" t="s">
        <v>177</v>
      </c>
      <c r="M29" s="679"/>
      <c r="N29" s="679"/>
      <c r="O29" s="680"/>
      <c r="P29" s="65"/>
      <c r="Q29" s="65"/>
      <c r="R29" s="65"/>
      <c r="S29" s="65"/>
      <c r="T29" s="65"/>
      <c r="U29" s="65"/>
      <c r="V29" s="65"/>
      <c r="W29" s="65"/>
      <c r="X29" s="65"/>
      <c r="Y29" s="65"/>
      <c r="Z29" s="65"/>
      <c r="AA29" s="65"/>
      <c r="AB29" s="65"/>
      <c r="AC29" s="65"/>
      <c r="AD29" s="65"/>
      <c r="AE29" s="65"/>
      <c r="AF29" s="65"/>
    </row>
    <row r="30" spans="1:32" ht="16.2">
      <c r="B30" s="104" t="s">
        <v>9</v>
      </c>
      <c r="C30" s="107"/>
      <c r="D30" s="107"/>
      <c r="E30" s="107"/>
      <c r="L30" s="87" t="s">
        <v>142</v>
      </c>
      <c r="M30" s="681" t="str">
        <f>Parameter!G2</f>
        <v>Musterstraße 123, 45678 Irgendwo</v>
      </c>
      <c r="N30" s="681"/>
      <c r="O30" s="682"/>
    </row>
    <row r="31" spans="1:32" ht="13.8">
      <c r="L31" s="87" t="s">
        <v>223</v>
      </c>
      <c r="M31" s="112"/>
      <c r="N31" s="86" t="s">
        <v>222</v>
      </c>
      <c r="O31" s="88">
        <f>Parameter!B16</f>
        <v>1148200</v>
      </c>
    </row>
    <row r="32" spans="1:32" ht="15.6" thickBot="1">
      <c r="B32" s="6" t="s">
        <v>45</v>
      </c>
      <c r="C32" s="2"/>
      <c r="D32" s="2"/>
      <c r="E32" s="2"/>
      <c r="F32" s="2"/>
      <c r="G32" s="2"/>
      <c r="H32" s="2"/>
      <c r="L32" s="89" t="s">
        <v>143</v>
      </c>
      <c r="M32" s="90">
        <f>Parameter!B7</f>
        <v>144</v>
      </c>
      <c r="N32" s="91" t="s">
        <v>172</v>
      </c>
      <c r="O32" s="92">
        <f>Parameter!I3</f>
        <v>500</v>
      </c>
    </row>
    <row r="33" spans="2:15" ht="15.6" thickTop="1">
      <c r="B33" s="3" t="s">
        <v>46</v>
      </c>
      <c r="C33" s="2"/>
      <c r="D33" s="2"/>
      <c r="E33" s="2"/>
      <c r="F33" s="2"/>
      <c r="G33" s="2"/>
      <c r="H33" s="2"/>
      <c r="L33" s="3"/>
      <c r="M33" s="3"/>
      <c r="N33" s="7"/>
      <c r="O33" s="7"/>
    </row>
    <row r="34" spans="2:15" ht="15">
      <c r="B34" s="3" t="s">
        <v>47</v>
      </c>
      <c r="C34" s="2"/>
      <c r="D34" s="2"/>
      <c r="E34" s="2"/>
      <c r="F34" s="2"/>
      <c r="G34" s="2"/>
      <c r="H34" s="2"/>
    </row>
    <row r="35" spans="2:15" ht="15">
      <c r="B35" s="3" t="s">
        <v>139</v>
      </c>
      <c r="C35" s="2"/>
      <c r="D35" s="2"/>
      <c r="E35" s="2"/>
      <c r="F35" s="2"/>
      <c r="G35" s="2"/>
      <c r="H35" s="2"/>
    </row>
    <row r="36" spans="2:15" ht="15">
      <c r="B36" s="3" t="s">
        <v>270</v>
      </c>
      <c r="C36" s="2"/>
      <c r="D36" s="2"/>
      <c r="E36" s="2"/>
      <c r="F36" s="2"/>
      <c r="G36" s="2"/>
      <c r="H36" s="2"/>
    </row>
    <row r="37" spans="2:15" ht="15">
      <c r="B37" s="3" t="s">
        <v>271</v>
      </c>
      <c r="C37" s="2"/>
      <c r="D37" s="2"/>
      <c r="E37" s="2"/>
      <c r="F37" s="2"/>
      <c r="G37" s="2"/>
      <c r="H37" s="2"/>
    </row>
    <row r="38" spans="2:15" ht="13.8">
      <c r="B38" s="3"/>
    </row>
    <row r="39" spans="2:15" ht="13.8">
      <c r="B39" s="22"/>
    </row>
    <row r="41" spans="2:15" ht="16.2">
      <c r="B41" s="122" t="s">
        <v>249</v>
      </c>
    </row>
    <row r="42" spans="2:15" ht="16.2">
      <c r="B42" s="57" t="s">
        <v>10</v>
      </c>
    </row>
  </sheetData>
  <mergeCells count="4">
    <mergeCell ref="L29:O29"/>
    <mergeCell ref="M30:O30"/>
    <mergeCell ref="D2:G2"/>
    <mergeCell ref="I2:L2"/>
  </mergeCells>
  <dataValidations count="1">
    <dataValidation allowBlank="1" showErrorMessage="1" sqref="L29:O33 M2:AF4 I3:L4 AG2:AG10 I5:AF10 B2:C10 H2:H10 D3:G10 B11:AG28" xr:uid="{00000000-0002-0000-0300-000000000000}"/>
  </dataValidations>
  <hyperlinks>
    <hyperlink ref="B42" r:id="rId1" xr:uid="{00000000-0004-0000-0300-000000000000}"/>
  </hyperlinks>
  <pageMargins left="0.7" right="0.7" top="0.78740157499999996" bottom="0.78740157499999996" header="0.3" footer="0.3"/>
  <pageSetup paperSize="9" orientation="portrait"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T124"/>
  <sheetViews>
    <sheetView topLeftCell="A109" zoomScaleNormal="100" zoomScaleSheetLayoutView="90" workbookViewId="0">
      <selection activeCell="Q119" sqref="Q119"/>
    </sheetView>
  </sheetViews>
  <sheetFormatPr baseColWidth="10" defaultRowHeight="13.2"/>
  <cols>
    <col min="1" max="1" width="4.5546875" customWidth="1"/>
    <col min="2" max="2" width="16.5546875" customWidth="1"/>
    <col min="16" max="16" width="13.21875" customWidth="1"/>
    <col min="17" max="17" width="13.6640625" customWidth="1"/>
    <col min="18" max="18" width="16.44140625" customWidth="1"/>
    <col min="19" max="19" width="16.21875" customWidth="1"/>
    <col min="20" max="20" width="15.44140625" customWidth="1"/>
    <col min="21" max="21" width="14.109375" customWidth="1"/>
  </cols>
  <sheetData>
    <row r="1" spans="2:5" ht="14.4" thickTop="1">
      <c r="B1" s="678" t="s">
        <v>179</v>
      </c>
      <c r="C1" s="679"/>
      <c r="D1" s="679"/>
      <c r="E1" s="680"/>
    </row>
    <row r="2" spans="2:5" ht="13.8">
      <c r="B2" s="87" t="s">
        <v>142</v>
      </c>
      <c r="C2" s="681" t="str">
        <f>Parameter!G2</f>
        <v>Musterstraße 123, 45678 Irgendwo</v>
      </c>
      <c r="D2" s="681"/>
      <c r="E2" s="682"/>
    </row>
    <row r="3" spans="2:5" ht="13.8">
      <c r="B3" s="87" t="s">
        <v>223</v>
      </c>
      <c r="C3" s="112"/>
      <c r="D3" s="86" t="s">
        <v>222</v>
      </c>
      <c r="E3" s="88">
        <f>Parameter!B16</f>
        <v>1148200</v>
      </c>
    </row>
    <row r="4" spans="2:5" ht="14.4" thickBot="1">
      <c r="B4" s="89" t="s">
        <v>143</v>
      </c>
      <c r="C4" s="90">
        <f>Parameter!G3</f>
        <v>144</v>
      </c>
      <c r="D4" s="91" t="s">
        <v>172</v>
      </c>
      <c r="E4" s="92">
        <f>Parameter!I3</f>
        <v>500</v>
      </c>
    </row>
    <row r="5" spans="2:5" ht="13.8" thickTop="1"/>
    <row r="36" spans="3:20">
      <c r="C36" t="s">
        <v>206</v>
      </c>
      <c r="L36" t="s">
        <v>227</v>
      </c>
    </row>
    <row r="37" spans="3:20">
      <c r="C37" t="s">
        <v>228</v>
      </c>
      <c r="L37" t="s">
        <v>330</v>
      </c>
    </row>
    <row r="38" spans="3:20" ht="13.8">
      <c r="C38" t="s">
        <v>197</v>
      </c>
      <c r="L38" t="s">
        <v>325</v>
      </c>
      <c r="S38" s="152" t="s">
        <v>52</v>
      </c>
    </row>
    <row r="39" spans="3:20" ht="14.4">
      <c r="C39" t="s">
        <v>198</v>
      </c>
      <c r="L39" t="s">
        <v>214</v>
      </c>
      <c r="R39" s="156" t="s">
        <v>48</v>
      </c>
      <c r="S39" s="153" t="s">
        <v>56</v>
      </c>
    </row>
    <row r="40" spans="3:20" ht="14.4">
      <c r="C40" t="s">
        <v>199</v>
      </c>
      <c r="L40" t="s">
        <v>211</v>
      </c>
      <c r="R40" s="157" t="s">
        <v>309</v>
      </c>
      <c r="S40" s="153" t="s">
        <v>67</v>
      </c>
    </row>
    <row r="41" spans="3:20" ht="14.4">
      <c r="L41" t="s">
        <v>212</v>
      </c>
      <c r="R41" s="157" t="s">
        <v>310</v>
      </c>
      <c r="S41" s="153" t="s">
        <v>81</v>
      </c>
      <c r="T41" s="296" t="s">
        <v>209</v>
      </c>
    </row>
    <row r="42" spans="3:20" ht="14.4">
      <c r="C42" s="111" t="s">
        <v>201</v>
      </c>
      <c r="L42" t="s">
        <v>326</v>
      </c>
      <c r="R42" s="157" t="s">
        <v>311</v>
      </c>
      <c r="S42" s="153" t="s">
        <v>93</v>
      </c>
      <c r="T42" s="297" t="s">
        <v>210</v>
      </c>
    </row>
    <row r="43" spans="3:20" ht="14.4">
      <c r="C43" t="s">
        <v>200</v>
      </c>
      <c r="L43" t="s">
        <v>216</v>
      </c>
      <c r="Q43" s="150" t="s">
        <v>305</v>
      </c>
      <c r="R43" s="158" t="s">
        <v>91</v>
      </c>
      <c r="S43" s="154" t="s">
        <v>51</v>
      </c>
      <c r="T43" s="298" t="s">
        <v>70</v>
      </c>
    </row>
    <row r="44" spans="3:20">
      <c r="C44" t="s">
        <v>208</v>
      </c>
      <c r="L44" t="s">
        <v>213</v>
      </c>
      <c r="Q44" s="128" t="s">
        <v>288</v>
      </c>
      <c r="R44" s="159">
        <f>'Cash &amp; Assets'!AL56</f>
        <v>101114.08887708874</v>
      </c>
      <c r="S44" s="155">
        <f>'Cash &amp; Assets'!AS53</f>
        <v>24327.151524713263</v>
      </c>
      <c r="T44" s="294">
        <f>'Cash &amp; Assets'!AR53</f>
        <v>189766.82599654351</v>
      </c>
    </row>
    <row r="45" spans="3:20">
      <c r="C45" t="s">
        <v>202</v>
      </c>
      <c r="L45" t="s">
        <v>320</v>
      </c>
      <c r="Q45" s="128" t="s">
        <v>289</v>
      </c>
      <c r="R45" s="159">
        <f>'Cash &amp; Assets'!AL57</f>
        <v>184606.21863018619</v>
      </c>
      <c r="S45" s="155">
        <f>'Cash &amp; Assets'!AS54</f>
        <v>140288.35462669004</v>
      </c>
      <c r="T45" s="294">
        <f>'Cash &amp; Assets'!AR54</f>
        <v>387616.36887100618</v>
      </c>
    </row>
    <row r="46" spans="3:20">
      <c r="C46" t="s">
        <v>207</v>
      </c>
      <c r="L46" t="s">
        <v>321</v>
      </c>
      <c r="Q46" s="128" t="s">
        <v>290</v>
      </c>
      <c r="R46" s="159">
        <f>'Cash &amp; Assets'!AL58</f>
        <v>238460.97971595053</v>
      </c>
      <c r="S46" s="155">
        <f>'Cash &amp; Assets'!AS55</f>
        <v>227708.27036393853</v>
      </c>
      <c r="T46" s="294">
        <f>'Cash &amp; Assets'!AR55</f>
        <v>607944.61378314858</v>
      </c>
    </row>
    <row r="47" spans="3:20">
      <c r="Q47" s="128" t="s">
        <v>291</v>
      </c>
      <c r="R47" s="159">
        <f>'Cash &amp; Assets'!AL59</f>
        <v>316212.0664313747</v>
      </c>
      <c r="S47" s="155">
        <f>'Cash &amp; Assets'!AS56</f>
        <v>340162.3592578196</v>
      </c>
      <c r="T47" s="294">
        <f>'Cash &amp; Assets'!AR56</f>
        <v>860418.85369125579</v>
      </c>
    </row>
    <row r="48" spans="3:20">
      <c r="Q48" s="128" t="s">
        <v>292</v>
      </c>
      <c r="R48" s="159">
        <f>'Cash &amp; Assets'!AL60</f>
        <v>421497.89269951911</v>
      </c>
      <c r="S48" s="155">
        <f>'Cash &amp; Assets'!AS57</f>
        <v>481332.57477555471</v>
      </c>
      <c r="T48" s="294">
        <f>'Cash &amp; Assets'!AR57</f>
        <v>1151838.4949766903</v>
      </c>
    </row>
    <row r="49" spans="17:20">
      <c r="Q49" s="146" t="s">
        <v>300</v>
      </c>
      <c r="R49" s="159">
        <f>'Cash &amp; Assets'!AL61</f>
        <v>547256.89488322625</v>
      </c>
      <c r="S49" s="155">
        <f>'Cash &amp; Assets'!AS58</f>
        <v>644202.74758189404</v>
      </c>
      <c r="T49" s="294">
        <f>'Cash &amp; Assets'!AR58</f>
        <v>1245145.8526986679</v>
      </c>
    </row>
    <row r="50" spans="17:20" ht="14.4">
      <c r="R50" s="156" t="s">
        <v>48</v>
      </c>
      <c r="S50" s="152" t="s">
        <v>48</v>
      </c>
      <c r="T50" s="295" t="s">
        <v>397</v>
      </c>
    </row>
    <row r="51" spans="17:20" ht="14.4">
      <c r="R51" s="158" t="s">
        <v>215</v>
      </c>
      <c r="S51" s="154" t="s">
        <v>215</v>
      </c>
    </row>
    <row r="112" spans="19:19">
      <c r="S112" s="1"/>
    </row>
    <row r="113" spans="16:20" ht="13.8" thickBot="1">
      <c r="S113" s="1"/>
    </row>
    <row r="114" spans="16:20" ht="14.4">
      <c r="P114" s="281" t="s">
        <v>404</v>
      </c>
      <c r="Q114" s="282"/>
      <c r="R114" s="277" t="s">
        <v>48</v>
      </c>
      <c r="S114" s="147" t="s">
        <v>52</v>
      </c>
      <c r="T114" s="286" t="s">
        <v>52</v>
      </c>
    </row>
    <row r="115" spans="16:20" ht="14.4">
      <c r="P115" s="283" t="s">
        <v>402</v>
      </c>
      <c r="Q115" s="289" t="s">
        <v>55</v>
      </c>
      <c r="R115" s="278" t="s">
        <v>309</v>
      </c>
      <c r="S115" s="148" t="s">
        <v>56</v>
      </c>
      <c r="T115" s="287" t="s">
        <v>66</v>
      </c>
    </row>
    <row r="116" spans="16:20" ht="14.4">
      <c r="P116" s="283" t="s">
        <v>48</v>
      </c>
      <c r="Q116" s="290" t="s">
        <v>54</v>
      </c>
      <c r="R116" s="278" t="s">
        <v>310</v>
      </c>
      <c r="S116" s="148" t="s">
        <v>67</v>
      </c>
      <c r="T116" s="287" t="s">
        <v>80</v>
      </c>
    </row>
    <row r="117" spans="16:20" ht="14.4">
      <c r="P117" s="283" t="s">
        <v>403</v>
      </c>
      <c r="Q117" s="290" t="s">
        <v>79</v>
      </c>
      <c r="R117" s="278" t="s">
        <v>311</v>
      </c>
      <c r="S117" s="148" t="s">
        <v>316</v>
      </c>
      <c r="T117" s="287" t="s">
        <v>92</v>
      </c>
    </row>
    <row r="118" spans="16:20" ht="14.4">
      <c r="P118" s="284"/>
      <c r="Q118" s="291" t="s">
        <v>91</v>
      </c>
      <c r="R118" s="278" t="s">
        <v>91</v>
      </c>
      <c r="S118" s="149" t="s">
        <v>51</v>
      </c>
      <c r="T118" s="287" t="s">
        <v>51</v>
      </c>
    </row>
    <row r="119" spans="16:20" ht="14.4">
      <c r="P119" s="128" t="s">
        <v>288</v>
      </c>
      <c r="Q119" s="292">
        <f>'Cash &amp; Assets'!AI56</f>
        <v>63252.507617053008</v>
      </c>
      <c r="R119" s="279">
        <f>'Cash &amp; Assets'!AL56</f>
        <v>101114.08887708874</v>
      </c>
      <c r="S119" s="136">
        <f>'Cash &amp; Assets'!AS53</f>
        <v>24327.151524713263</v>
      </c>
      <c r="T119" s="288">
        <f>'Cash &amp; Assets'!AQ53</f>
        <v>1071413.0626476244</v>
      </c>
    </row>
    <row r="120" spans="16:20" ht="14.4">
      <c r="P120" s="128" t="s">
        <v>289</v>
      </c>
      <c r="Q120" s="292">
        <f>'Cash &amp; Assets'!AI57</f>
        <v>126011.2110000541</v>
      </c>
      <c r="R120" s="279">
        <f>'Cash &amp; Assets'!AL57</f>
        <v>184606.21863018619</v>
      </c>
      <c r="S120" s="136">
        <f>'Cash &amp; Assets'!AS54</f>
        <v>140288.35462669004</v>
      </c>
      <c r="T120" s="288">
        <f>'Cash &amp; Assets'!AQ54</f>
        <v>1103882.1359965038</v>
      </c>
    </row>
    <row r="121" spans="16:20" ht="14.4">
      <c r="P121" s="128" t="s">
        <v>290</v>
      </c>
      <c r="Q121" s="292">
        <f>'Cash &amp; Assets'!AI58</f>
        <v>179865.97208581842</v>
      </c>
      <c r="R121" s="279">
        <f>'Cash &amp; Assets'!AL58</f>
        <v>238460.97971595053</v>
      </c>
      <c r="S121" s="136">
        <f>'Cash &amp; Assets'!AS55</f>
        <v>227708.27036393853</v>
      </c>
      <c r="T121" s="288">
        <f>'Cash &amp; Assets'!AQ55</f>
        <v>1137447.290647988</v>
      </c>
    </row>
    <row r="122" spans="16:20" ht="14.4">
      <c r="P122" s="128" t="s">
        <v>291</v>
      </c>
      <c r="Q122" s="292">
        <f>'Cash &amp; Assets'!AI59</f>
        <v>257617.05880124259</v>
      </c>
      <c r="R122" s="279">
        <f>'Cash &amp; Assets'!AL59</f>
        <v>316212.0664313747</v>
      </c>
      <c r="S122" s="136">
        <f>'Cash &amp; Assets'!AS56</f>
        <v>340162.3592578196</v>
      </c>
      <c r="T122" s="288">
        <f>'Cash &amp; Assets'!AQ56</f>
        <v>1172150.2928264448</v>
      </c>
    </row>
    <row r="123" spans="16:20" ht="14.4">
      <c r="P123" s="128" t="s">
        <v>292</v>
      </c>
      <c r="Q123" s="292">
        <f>'Cash &amp; Assets'!AI60</f>
        <v>362902.88506938703</v>
      </c>
      <c r="R123" s="279">
        <f>'Cash &amp; Assets'!AL60</f>
        <v>421497.89269951911</v>
      </c>
      <c r="S123" s="136">
        <f>'Cash &amp; Assets'!AS57</f>
        <v>481332.57477555471</v>
      </c>
      <c r="T123" s="288">
        <f>'Cash &amp; Assets'!AQ57</f>
        <v>1208034.6820760355</v>
      </c>
    </row>
    <row r="124" spans="16:20" ht="15" thickBot="1">
      <c r="P124" s="285" t="s">
        <v>300</v>
      </c>
      <c r="Q124" s="293">
        <f>'Cash &amp; Assets'!AI61</f>
        <v>488661.88725309412</v>
      </c>
      <c r="R124" s="280">
        <f>'Cash &amp; Assets'!AL61</f>
        <v>547256.89488322625</v>
      </c>
      <c r="S124" s="136">
        <f>'Cash &amp; Assets'!AS58</f>
        <v>644202.74758189404</v>
      </c>
      <c r="T124" s="288">
        <f>'Cash &amp; Assets'!AQ58</f>
        <v>1245145.8526986679</v>
      </c>
    </row>
  </sheetData>
  <mergeCells count="2">
    <mergeCell ref="B1:E1"/>
    <mergeCell ref="C2:E2"/>
  </mergeCells>
  <dataValidations disablePrompts="1" count="1">
    <dataValidation allowBlank="1" showErrorMessage="1" sqref="B1:E4" xr:uid="{00000000-0002-0000-0400-000000000000}"/>
  </dataValidations>
  <pageMargins left="0.7" right="0.7" top="0.78740157499999996" bottom="0.78740157499999996" header="0.3" footer="0.3"/>
  <pageSetup paperSize="9" orientation="portrait"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9"/>
  <sheetViews>
    <sheetView workbookViewId="0">
      <selection activeCell="B14" sqref="B14"/>
    </sheetView>
  </sheetViews>
  <sheetFormatPr baseColWidth="10" defaultRowHeight="13.2"/>
  <cols>
    <col min="2" max="2" width="52.44140625" style="232" customWidth="1"/>
    <col min="3" max="3" width="24.44140625" customWidth="1"/>
    <col min="4" max="4" width="18.109375" customWidth="1"/>
    <col min="5" max="5" width="75.88671875" customWidth="1"/>
  </cols>
  <sheetData>
    <row r="1" spans="1:5" ht="13.8">
      <c r="A1" s="129" t="s">
        <v>294</v>
      </c>
      <c r="B1" s="230" t="s">
        <v>295</v>
      </c>
      <c r="C1" s="130" t="s">
        <v>296</v>
      </c>
      <c r="D1" s="131" t="s">
        <v>297</v>
      </c>
      <c r="E1" s="130" t="s">
        <v>298</v>
      </c>
    </row>
    <row r="2" spans="1:5">
      <c r="A2" s="132"/>
      <c r="B2" s="231"/>
      <c r="C2" s="100"/>
      <c r="D2" s="132"/>
      <c r="E2" s="100"/>
    </row>
    <row r="3" spans="1:5">
      <c r="A3" s="132"/>
      <c r="B3" s="231"/>
      <c r="C3" s="100"/>
      <c r="D3" s="132"/>
      <c r="E3" s="100"/>
    </row>
    <row r="4" spans="1:5">
      <c r="A4" s="132"/>
      <c r="B4" s="231"/>
      <c r="C4" s="100"/>
      <c r="D4" s="132"/>
      <c r="E4" s="100"/>
    </row>
    <row r="5" spans="1:5">
      <c r="A5" s="132"/>
      <c r="B5" s="231"/>
      <c r="C5" s="100"/>
      <c r="D5" s="132"/>
      <c r="E5" s="100"/>
    </row>
    <row r="6" spans="1:5">
      <c r="A6" s="132"/>
      <c r="B6" s="231"/>
      <c r="C6" s="100"/>
      <c r="D6" s="132"/>
      <c r="E6" s="100"/>
    </row>
    <row r="7" spans="1:5">
      <c r="A7" s="132"/>
      <c r="B7" s="231"/>
      <c r="C7" s="100"/>
      <c r="D7" s="132"/>
      <c r="E7" s="100"/>
    </row>
    <row r="8" spans="1:5">
      <c r="A8" s="132"/>
      <c r="B8" s="231"/>
      <c r="C8" s="100"/>
      <c r="D8" s="132"/>
      <c r="E8" s="100"/>
    </row>
    <row r="9" spans="1:5">
      <c r="A9" s="132"/>
      <c r="B9" s="231"/>
      <c r="C9" s="100"/>
      <c r="D9" s="132"/>
      <c r="E9" s="100"/>
    </row>
    <row r="10" spans="1:5">
      <c r="A10" s="132"/>
      <c r="B10" s="231"/>
      <c r="C10" s="100"/>
      <c r="D10" s="132"/>
      <c r="E10" s="100"/>
    </row>
    <row r="11" spans="1:5">
      <c r="A11" s="132"/>
      <c r="B11" s="231"/>
      <c r="C11" s="100"/>
      <c r="D11" s="132"/>
      <c r="E11" s="100"/>
    </row>
    <row r="12" spans="1:5">
      <c r="A12" s="132"/>
      <c r="B12" s="231"/>
      <c r="C12" s="100"/>
      <c r="D12" s="132"/>
      <c r="E12" s="100"/>
    </row>
    <row r="13" spans="1:5">
      <c r="A13" s="132"/>
      <c r="B13" s="231"/>
      <c r="C13" s="100"/>
      <c r="D13" s="132"/>
      <c r="E13" s="100"/>
    </row>
    <row r="14" spans="1:5" ht="39.6">
      <c r="A14" s="132" t="s">
        <v>749</v>
      </c>
      <c r="B14" s="135" t="s">
        <v>750</v>
      </c>
      <c r="C14" s="135" t="s">
        <v>299</v>
      </c>
      <c r="D14" s="133">
        <v>45989</v>
      </c>
      <c r="E14" s="135" t="s">
        <v>707</v>
      </c>
    </row>
    <row r="15" spans="1:5" ht="72" customHeight="1">
      <c r="A15" s="132" t="s">
        <v>748</v>
      </c>
      <c r="B15" s="231" t="s">
        <v>705</v>
      </c>
      <c r="C15" s="135" t="s">
        <v>299</v>
      </c>
      <c r="D15" s="133">
        <v>45985</v>
      </c>
      <c r="E15" s="100" t="s">
        <v>664</v>
      </c>
    </row>
    <row r="16" spans="1:5" ht="66">
      <c r="A16" s="132" t="s">
        <v>663</v>
      </c>
      <c r="B16" s="231" t="s">
        <v>708</v>
      </c>
      <c r="C16" s="135" t="s">
        <v>299</v>
      </c>
      <c r="D16" s="133">
        <v>45982</v>
      </c>
      <c r="E16" s="135" t="s">
        <v>709</v>
      </c>
    </row>
    <row r="17" spans="1:5" ht="52.8">
      <c r="A17" s="132" t="s">
        <v>710</v>
      </c>
      <c r="B17" s="135" t="s">
        <v>711</v>
      </c>
      <c r="C17" s="135" t="s">
        <v>299</v>
      </c>
      <c r="D17" s="133">
        <v>45812</v>
      </c>
      <c r="E17" s="135" t="s">
        <v>712</v>
      </c>
    </row>
    <row r="18" spans="1:5" ht="39.6">
      <c r="A18" s="132" t="s">
        <v>713</v>
      </c>
      <c r="B18" s="231" t="s">
        <v>714</v>
      </c>
      <c r="C18" s="135" t="s">
        <v>299</v>
      </c>
      <c r="D18" s="133">
        <v>45684</v>
      </c>
      <c r="E18" s="135" t="s">
        <v>715</v>
      </c>
    </row>
    <row r="19" spans="1:5" ht="39.6">
      <c r="A19" s="132" t="s">
        <v>716</v>
      </c>
      <c r="B19" s="231" t="s">
        <v>717</v>
      </c>
      <c r="C19" s="135" t="s">
        <v>299</v>
      </c>
      <c r="D19" s="133">
        <v>45469</v>
      </c>
      <c r="E19" s="135" t="s">
        <v>718</v>
      </c>
    </row>
    <row r="20" spans="1:5" ht="52.8">
      <c r="A20" s="132" t="s">
        <v>719</v>
      </c>
      <c r="B20" s="134" t="s">
        <v>720</v>
      </c>
      <c r="C20" s="135" t="s">
        <v>299</v>
      </c>
      <c r="D20" s="133">
        <v>45417</v>
      </c>
      <c r="E20" s="135" t="s">
        <v>721</v>
      </c>
    </row>
    <row r="21" spans="1:5" ht="52.8">
      <c r="A21" s="132" t="s">
        <v>722</v>
      </c>
      <c r="B21" s="134" t="s">
        <v>723</v>
      </c>
      <c r="C21" s="135" t="s">
        <v>299</v>
      </c>
      <c r="D21" s="133">
        <v>45406</v>
      </c>
      <c r="E21" s="135" t="s">
        <v>724</v>
      </c>
    </row>
    <row r="22" spans="1:5" ht="66">
      <c r="A22" s="132" t="s">
        <v>725</v>
      </c>
      <c r="B22" s="134" t="s">
        <v>726</v>
      </c>
      <c r="C22" s="135" t="s">
        <v>299</v>
      </c>
      <c r="D22" s="133">
        <v>45396</v>
      </c>
      <c r="E22" s="135" t="s">
        <v>727</v>
      </c>
    </row>
    <row r="23" spans="1:5" ht="52.8">
      <c r="A23" s="132" t="s">
        <v>728</v>
      </c>
      <c r="B23" s="134" t="s">
        <v>729</v>
      </c>
      <c r="C23" s="135" t="s">
        <v>299</v>
      </c>
      <c r="D23" s="133">
        <v>45392</v>
      </c>
      <c r="E23" s="135" t="s">
        <v>730</v>
      </c>
    </row>
    <row r="24" spans="1:5" ht="39.6">
      <c r="A24" s="132" t="s">
        <v>731</v>
      </c>
      <c r="B24" s="134" t="s">
        <v>732</v>
      </c>
      <c r="C24" s="135" t="s">
        <v>299</v>
      </c>
      <c r="D24" s="133">
        <v>44418</v>
      </c>
      <c r="E24" s="135" t="s">
        <v>733</v>
      </c>
    </row>
    <row r="25" spans="1:5" ht="52.8">
      <c r="A25" s="133" t="s">
        <v>734</v>
      </c>
      <c r="B25" s="134" t="s">
        <v>735</v>
      </c>
      <c r="C25" s="135" t="s">
        <v>299</v>
      </c>
      <c r="D25" s="133">
        <v>44416</v>
      </c>
      <c r="E25" s="135" t="s">
        <v>736</v>
      </c>
    </row>
    <row r="26" spans="1:5" ht="52.8">
      <c r="A26" s="133" t="s">
        <v>737</v>
      </c>
      <c r="B26" s="134" t="s">
        <v>738</v>
      </c>
      <c r="C26" s="135" t="s">
        <v>299</v>
      </c>
      <c r="D26" s="133">
        <v>44375</v>
      </c>
      <c r="E26" s="135" t="s">
        <v>739</v>
      </c>
    </row>
    <row r="27" spans="1:5">
      <c r="A27" s="133" t="s">
        <v>740</v>
      </c>
      <c r="B27" s="134" t="s">
        <v>741</v>
      </c>
      <c r="C27" s="135" t="s">
        <v>299</v>
      </c>
      <c r="D27" s="578">
        <v>43273</v>
      </c>
      <c r="E27" s="135" t="s">
        <v>742</v>
      </c>
    </row>
    <row r="28" spans="1:5">
      <c r="A28" s="133" t="s">
        <v>743</v>
      </c>
      <c r="B28" s="134" t="s">
        <v>744</v>
      </c>
      <c r="C28" s="135" t="s">
        <v>299</v>
      </c>
      <c r="D28" s="578">
        <v>40465</v>
      </c>
      <c r="E28" s="135" t="s">
        <v>745</v>
      </c>
    </row>
    <row r="29" spans="1:5">
      <c r="A29" s="133" t="s">
        <v>743</v>
      </c>
      <c r="B29" s="134" t="s">
        <v>746</v>
      </c>
      <c r="C29" s="135" t="s">
        <v>299</v>
      </c>
      <c r="D29" s="578" t="s">
        <v>747</v>
      </c>
      <c r="E29" s="135"/>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7</vt:i4>
      </vt:variant>
      <vt:variant>
        <vt:lpstr>Benannte Bereiche</vt:lpstr>
      </vt:variant>
      <vt:variant>
        <vt:i4>50</vt:i4>
      </vt:variant>
    </vt:vector>
  </HeadingPairs>
  <TitlesOfParts>
    <vt:vector size="57" baseType="lpstr">
      <vt:lpstr>Hinweise</vt:lpstr>
      <vt:lpstr>Parameter</vt:lpstr>
      <vt:lpstr>AfA</vt:lpstr>
      <vt:lpstr>Cash &amp; Assets</vt:lpstr>
      <vt:lpstr>Kennzahlen</vt:lpstr>
      <vt:lpstr>Graphiken</vt:lpstr>
      <vt:lpstr>ChangeLog</vt:lpstr>
      <vt:lpstr>AfA_Art</vt:lpstr>
      <vt:lpstr>AfA_Tabelle</vt:lpstr>
      <vt:lpstr>AFABasis</vt:lpstr>
      <vt:lpstr>Annuität_Förderkredit</vt:lpstr>
      <vt:lpstr>Annuität_Kredit_1_p.a.</vt:lpstr>
      <vt:lpstr>Annuität_Kredit_2_p.a.</vt:lpstr>
      <vt:lpstr>Anschlusskredit</vt:lpstr>
      <vt:lpstr>Anzahl_Tilgungszuschüsse</vt:lpstr>
      <vt:lpstr>AuszahungKredit1</vt:lpstr>
      <vt:lpstr>Baukostensteigerung_p.a</vt:lpstr>
      <vt:lpstr>BeginnFolgeKredit</vt:lpstr>
      <vt:lpstr>Deg5Lin2</vt:lpstr>
      <vt:lpstr>Deg5Lin3</vt:lpstr>
      <vt:lpstr>Disagio</vt:lpstr>
      <vt:lpstr>Disagio_in_Prozent</vt:lpstr>
      <vt:lpstr>Eigenkapital</vt:lpstr>
      <vt:lpstr>Finanzbedarf</vt:lpstr>
      <vt:lpstr>FinZeitraum</vt:lpstr>
      <vt:lpstr>FittingUp</vt:lpstr>
      <vt:lpstr>Förderkredit</vt:lpstr>
      <vt:lpstr>Förderzeit</vt:lpstr>
      <vt:lpstr>Förderzins</vt:lpstr>
      <vt:lpstr>Gebäude</vt:lpstr>
      <vt:lpstr>Grenzsteuersatz</vt:lpstr>
      <vt:lpstr>Grundbuchamt</vt:lpstr>
      <vt:lpstr>Grunderwerbsteuer</vt:lpstr>
      <vt:lpstr>Grundstück</vt:lpstr>
      <vt:lpstr>Instanhaltungskosten_am_Anfang</vt:lpstr>
      <vt:lpstr>Investment</vt:lpstr>
      <vt:lpstr>Kreditbedarf</vt:lpstr>
      <vt:lpstr>Kreditzins1</vt:lpstr>
      <vt:lpstr>Kreditzins2</vt:lpstr>
      <vt:lpstr>LaufzeitKredit1</vt:lpstr>
      <vt:lpstr>LaufzeitKredit2</vt:lpstr>
      <vt:lpstr>Lebensdauer</vt:lpstr>
      <vt:lpstr>Linear2</vt:lpstr>
      <vt:lpstr>Linear3</vt:lpstr>
      <vt:lpstr>LinearX</vt:lpstr>
      <vt:lpstr>Maklergebühren</vt:lpstr>
      <vt:lpstr>Mietpreissteigerung_p.a.</vt:lpstr>
      <vt:lpstr>Notargebühren</vt:lpstr>
      <vt:lpstr>RBWnach6Jahren</vt:lpstr>
      <vt:lpstr>Restlaufzeit</vt:lpstr>
      <vt:lpstr>Start</vt:lpstr>
      <vt:lpstr>Startjahr</vt:lpstr>
      <vt:lpstr>Tilgungszuschuss</vt:lpstr>
      <vt:lpstr>Unterhaltskosten_p.a.</vt:lpstr>
      <vt:lpstr>Unterhaltskostensteigerung</vt:lpstr>
      <vt:lpstr>Wertverlust_des_Gebäudes_p.a.</vt:lpstr>
      <vt:lpstr>Wertzuwachst_des_Grundstücks_p.a.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Modellrechnung vermietete Immobilie  V3.2</dc:title>
  <dc:subject/>
  <dc:creator/>
  <cp:keywords>Nach-Steuer-Belastung, Cash, Assets</cp:keywords>
  <dc:description/>
  <cp:lastModifiedBy/>
  <cp:revision>1</cp:revision>
  <dcterms:created xsi:type="dcterms:W3CDTF">2020-10-10T08:05:16Z</dcterms:created>
  <dcterms:modified xsi:type="dcterms:W3CDTF">2025-11-29T16:11:01Z</dcterms:modified>
  <cp:category>Immoblien</cp:category>
  <cp:contentStatus/>
</cp:coreProperties>
</file>